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FE725CEA-0DD0-4240-868F-1BC6DC4A711C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1" l="1"/>
  <c r="B27" i="1"/>
  <c r="B25" i="1"/>
  <c r="B26" i="1"/>
  <c r="B23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<sst xmlns="http://schemas.openxmlformats.org/spreadsheetml/2006/main" count="302" uniqueCount="143">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</sst>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4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14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min-stack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26" Type="http://schemas.openxmlformats.org/officeDocument/2006/relationships/hyperlink" Target="https://leetcode.com/problems/powx-n/" TargetMode="External"/><Relationship Id="rId3" Type="http://schemas.openxmlformats.org/officeDocument/2006/relationships/hyperlink" Target="https://www.geeksforgeeks.org/doubly-linked-list/" TargetMode="External"/><Relationship Id="rId21" Type="http://schemas.openxmlformats.org/officeDocument/2006/relationships/hyperlink" Target="https://leetcode.com/problems/power-of-four/" TargetMode="External"/><Relationship Id="rId7" Type="http://schemas.openxmlformats.org/officeDocument/2006/relationships/hyperlink" Target="https://leetcode.com/problems/make-the-string-grea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0" Type="http://schemas.openxmlformats.org/officeDocument/2006/relationships/hyperlink" Target="https://leetcode.com/problems/power-of-three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5" Type="http://schemas.openxmlformats.org/officeDocument/2006/relationships/hyperlink" Target="https://leetcode.com/problems/flatten-a-multilevel-doubly-linked-list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10" Type="http://schemas.openxmlformats.org/officeDocument/2006/relationships/hyperlink" Target="https://leetcode.com/problems/remove-outermost-parentheses/" TargetMode="External"/><Relationship Id="rId19" Type="http://schemas.openxmlformats.org/officeDocument/2006/relationships/hyperlink" Target="https://leetcode.com/problems/n-th-tribonacci-number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A14" zoomScale="104" zoomScaleNormal="85" workbookViewId="0">
      <selection activeCell="C28" sqref="C28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68</v>
      </c>
      <c r="E5" s="22" t="s">
        <v>3</v>
      </c>
      <c r="F5" s="6">
        <f>D5/B5</f>
        <v>0.22666666666666666</v>
      </c>
    </row>
    <row r="6" spans="1:24" s="22" customFormat="1" x14ac:dyDescent="0.35">
      <c r="A6" s="22" t="s">
        <v>4</v>
      </c>
      <c r="B6" s="5">
        <f>COUNTIF(V10:V69,"Done")</f>
        <v>14</v>
      </c>
      <c r="C6" s="22" t="s">
        <v>5</v>
      </c>
      <c r="D6" s="7">
        <f>60-B6</f>
        <v>46</v>
      </c>
      <c r="E6" s="22" t="s">
        <v>6</v>
      </c>
      <c r="F6" s="8">
        <f>IFERROR(AVERAGE(U10:U69),0)</f>
        <v>2.4285714285714284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/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/>
      <c r="N27" s="14" t="s">
        <v>105</v>
      </c>
      <c r="O27" s="42" t="s">
        <v>141</v>
      </c>
      <c r="P27" s="14" t="s">
        <v>33</v>
      </c>
      <c r="Q27" s="14" t="s">
        <v>105</v>
      </c>
      <c r="R27" s="43" t="s">
        <v>135</v>
      </c>
      <c r="S27" s="14"/>
      <c r="T27" s="14" t="s">
        <v>105</v>
      </c>
      <c r="U27" s="14">
        <v>2</v>
      </c>
      <c r="V27" s="14" t="s">
        <v>107</v>
      </c>
      <c r="W27" s="17"/>
    </row>
    <row r="28" spans="1:24" x14ac:dyDescent="0.35">
      <c r="A28" s="10">
        <v>19</v>
      </c>
      <c r="B28" s="23">
        <f>B27+1</f>
        <v>46182</v>
      </c>
      <c r="C28" s="15" t="s">
        <v>59</v>
      </c>
      <c r="D28" s="13"/>
      <c r="E28" s="13"/>
      <c r="F28" s="42" t="s">
        <v>136</v>
      </c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x14ac:dyDescent="0.35">
      <c r="A36" s="10">
        <v>27</v>
      </c>
      <c r="B36" s="23"/>
      <c r="C36" s="38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  <c r="X38" s="16"/>
    </row>
    <row r="39" spans="1:24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  <c r="X39" s="17"/>
    </row>
    <row r="40" spans="1:24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  <c r="X40" s="16"/>
    </row>
    <row r="41" spans="1:24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  <c r="X41" s="17"/>
    </row>
    <row r="42" spans="1:24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  <c r="X44" s="16"/>
    </row>
    <row r="45" spans="1:24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2026-06-09T12:22:19Z</dcterms:modified>
</cp:coreProperties>
</file>