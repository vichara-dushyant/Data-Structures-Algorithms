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8D26D9AC-4AE9-4929-86A5-6F19C5D181DC}" xr6:coauthVersionLast="47" xr6:coauthVersionMax="47" xr10:uidLastSave="{00000000-0000-0000-0000-000000000000}"/>
  <bookViews>
    <workbookView xWindow="22932" yWindow="-1416" windowWidth="23256" windowHeight="12456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4" i="1" l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<sst xmlns="http://schemas.openxmlformats.org/spreadsheetml/2006/main" count="154" uniqueCount="112">
  <si>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</si>
  <si>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</si>
  <si>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</si>
  <si>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</si>
  <si>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</si>
  <si>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</si>
  <si>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</si>
  <si>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</si>
  <si>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</si>
  <si>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</si>
  <si>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</si>
  <si>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</si>
  <si>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</si>
  <si>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</si>
  <si>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</si>
  <si>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</si>
  <si>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</si>
  <si>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</si>
  <si>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</si>
  <si>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</si>
  <si>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</si>
  <si>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</si>
  <si>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</si>
  <si>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</si>
  <si>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</si>
  <si>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</si>
  <si>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</si>
  <si>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</si>
  <si>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</si>
  <si>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Notes / Revisit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</si>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</sst>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/mmm/yyyy"/>
  </numFmts>
  <fonts count="1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0" borderId="0" xfId="1" applyFont="1" applyAlignment="1">
      <alignment horizontal="center"/>
    </xf>
    <xf numFmtId="0" fontId="14" fillId="8" borderId="1" xfId="1" applyFont="1" applyFill="1" applyBorder="1"/>
    <xf numFmtId="0" fontId="3" fillId="13" borderId="1" xfId="0" applyFont="1" applyFill="1" applyBorder="1" applyAlignment="1">
      <alignment wrapText="1"/>
    </xf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</cellXfs>
  <cellStyles count="2"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zoomScale="73" zoomScaleNormal="85" workbookViewId="0">
      <selection activeCell="G18" sqref="G18"/>
    </sheetView>
  </sheetViews>
  <sheetFormatPr defaultRowHeight="14.5" x14ac:dyDescent="0.35"/>
  <cols>
    <col min="1" max="1" width="20.453125" customWidth="1"/>
    <col min="2" max="2" width="16.90625" style="22" customWidth="1"/>
    <col min="3" max="3" width="37.8164062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bestFit="1" customWidth="1"/>
    <col min="9" max="9" width="21.81640625" bestFit="1" customWidth="1"/>
    <col min="10" max="10" width="8.6328125" bestFit="1" customWidth="1"/>
    <col min="11" max="11" width="9.26953125" customWidth="1"/>
    <col min="12" max="12" width="23.54296875" bestFit="1" customWidth="1"/>
    <col min="13" max="13" width="8.6328125" bestFit="1" customWidth="1"/>
    <col min="14" max="14" width="6.36328125" bestFit="1" customWidth="1"/>
    <col min="15" max="15" width="23.36328125" bestFit="1" customWidth="1"/>
    <col min="16" max="16" width="8.81640625" bestFit="1" customWidth="1"/>
    <col min="17" max="17" width="7.6328125" bestFit="1" customWidth="1"/>
    <col min="18" max="18" width="19.26953125" customWidth="1"/>
    <col min="19" max="19" width="8.6328125" bestFit="1" customWidth="1"/>
    <col min="20" max="20" width="7.6328125" bestFit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72</v>
      </c>
    </row>
    <row r="2" spans="1:23" x14ac:dyDescent="0.35">
      <c r="A2" s="2" t="s">
        <v>103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20</v>
      </c>
      <c r="E5" s="22" t="s">
        <v>3</v>
      </c>
      <c r="F5" s="6">
        <f>D5/B5</f>
        <v>6.6666666666666666E-2</v>
      </c>
    </row>
    <row r="6" spans="1:23" s="22" customFormat="1" x14ac:dyDescent="0.35">
      <c r="A6" s="22" t="s">
        <v>4</v>
      </c>
      <c r="B6" s="5">
        <f>COUNTIF(V10:V69,"Done")</f>
        <v>3</v>
      </c>
      <c r="C6" s="22" t="s">
        <v>5</v>
      </c>
      <c r="D6" s="7">
        <f>60-B6</f>
        <v>57</v>
      </c>
      <c r="E6" s="22" t="s">
        <v>6</v>
      </c>
      <c r="F6" s="8">
        <f>IFERROR(AVERAGE(U10:U69),0)</f>
        <v>2.75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29</v>
      </c>
    </row>
    <row r="10" spans="1:23" x14ac:dyDescent="0.35">
      <c r="A10" s="10">
        <v>1</v>
      </c>
      <c r="B10" s="23">
        <v>45803</v>
      </c>
      <c r="C10" s="15" t="s">
        <v>43</v>
      </c>
      <c r="D10" s="13" t="s">
        <v>42</v>
      </c>
      <c r="E10" s="13">
        <v>2</v>
      </c>
      <c r="F10" s="29" t="str">
        <f>HYPERLINK("https://leetcode.com/problems/contains-duplicate/","Array contain duplicates")</f>
        <v>Array contain duplicates</v>
      </c>
      <c r="G10" s="13" t="s">
        <v>33</v>
      </c>
      <c r="H10" s="13" t="s">
        <v>107</v>
      </c>
      <c r="I10" s="29" t="str">
        <f>HYPERLINK("https://leetcode.com/problems/two-sum/","Two Sum")</f>
        <v>Two Sum</v>
      </c>
      <c r="J10" s="13" t="s">
        <v>33</v>
      </c>
      <c r="K10" s="13" t="s">
        <v>107</v>
      </c>
      <c r="L10" s="29" t="str">
        <f>HYPERLINK("https://leetcode.com/problems/missing-number/","Missing Number[0,n]")</f>
        <v>Missing Number[0,n]</v>
      </c>
      <c r="M10" s="13" t="s">
        <v>33</v>
      </c>
      <c r="N10" s="13" t="s">
        <v>107</v>
      </c>
      <c r="O10" s="29" t="str">
        <f>HYPERLINK("https://leetcode.com/problems/find-all-numbers-disappeared-in-an-array/","Disapperaed Numbers[1,n]")</f>
        <v>Disapperaed Numbers[1,n]</v>
      </c>
      <c r="P10" s="13" t="s">
        <v>33</v>
      </c>
      <c r="Q10" s="13" t="s">
        <v>107</v>
      </c>
      <c r="R10" s="29" t="str">
        <f>HYPERLINK("https://leetcode.com/problems/majority-element/","Majority Element")</f>
        <v>Majority Element</v>
      </c>
      <c r="S10" s="13" t="s">
        <v>33</v>
      </c>
      <c r="T10" s="13" t="s">
        <v>107</v>
      </c>
      <c r="U10" s="13">
        <v>3</v>
      </c>
      <c r="V10" s="13" t="s">
        <v>108</v>
      </c>
      <c r="W10" s="16"/>
    </row>
    <row r="11" spans="1:23" x14ac:dyDescent="0.35">
      <c r="A11" s="10">
        <v>2</v>
      </c>
      <c r="B11" s="23">
        <v>45804</v>
      </c>
      <c r="C11" s="15" t="s">
        <v>44</v>
      </c>
      <c r="D11" s="14" t="s">
        <v>105</v>
      </c>
      <c r="E11" s="14">
        <v>3</v>
      </c>
      <c r="F11" s="28" t="str">
        <f>HYPERLINK("https://leetcode.com/problems/move-zeroes/","Move Zeroes")</f>
        <v>Move Zeroes</v>
      </c>
      <c r="G11" s="14" t="s">
        <v>33</v>
      </c>
      <c r="H11" s="14" t="s">
        <v>107</v>
      </c>
      <c r="I11" s="28" t="str">
        <f>HYPERLINK("https://leetcode.com/problems/squares-of-a-sorted-array/","Squares of a Sorted Array")</f>
        <v>Squares of a Sorted Array</v>
      </c>
      <c r="J11" s="14" t="s">
        <v>33</v>
      </c>
      <c r="K11" s="14" t="s">
        <v>107</v>
      </c>
      <c r="L11" s="28" t="str">
        <f>HYPERLINK("https://leetcode.com/problems/backspace-string-compare/","Backspace String Compare")</f>
        <v>Backspace String Compare</v>
      </c>
      <c r="M11" s="14" t="s">
        <v>33</v>
      </c>
      <c r="N11" s="14" t="s">
        <v>107</v>
      </c>
      <c r="O11" s="28" t="str">
        <f>HYPERLINK("https://leetcode.com/problems/sort-colors/","Sort Colors")</f>
        <v>Sort Colors</v>
      </c>
      <c r="P11" s="14" t="s">
        <v>33</v>
      </c>
      <c r="Q11" s="14" t="s">
        <v>106</v>
      </c>
      <c r="R11" s="28" t="str">
        <f>HYPERLINK("https://leetcode.com/problems/3sum/","3Sum")</f>
        <v>3Sum</v>
      </c>
      <c r="S11" s="14" t="s">
        <v>34</v>
      </c>
      <c r="T11" s="14" t="s">
        <v>106</v>
      </c>
      <c r="U11" s="14">
        <v>2</v>
      </c>
      <c r="V11" s="13" t="s">
        <v>108</v>
      </c>
      <c r="W11" s="17"/>
    </row>
    <row r="12" spans="1:23" x14ac:dyDescent="0.35">
      <c r="A12" s="10">
        <v>3</v>
      </c>
      <c r="B12" s="23">
        <f>B11+1</f>
        <v>45805</v>
      </c>
      <c r="C12" s="15" t="s">
        <v>45</v>
      </c>
      <c r="D12" s="13" t="s">
        <v>105</v>
      </c>
      <c r="E12" s="13">
        <v>3</v>
      </c>
      <c r="F12" s="29" t="str">
        <f>HYPERLINK("https://leetcode.com/problems/maximum-average-subarray-i/","Maximum Average Subarray I")</f>
        <v>Maximum Average Subarray I</v>
      </c>
      <c r="G12" s="13" t="s">
        <v>34</v>
      </c>
      <c r="H12" s="13" t="s">
        <v>107</v>
      </c>
      <c r="I12" s="29" t="str">
        <f>HYPERLINK("https://leetcode.com/problems/contains-duplicate-ii/","Contains Duplicate II")</f>
        <v>Contains Duplicate II</v>
      </c>
      <c r="J12" s="13" t="s">
        <v>33</v>
      </c>
      <c r="K12" s="13" t="s">
        <v>107</v>
      </c>
      <c r="L12" s="29" t="str">
        <f>HYPERLINK("https://leetcode.com/problems/best-time-to-buy-and-sell-stock/","Best Time to Buy and Sell Stock")</f>
        <v>Best Time to Buy and Sell Stock</v>
      </c>
      <c r="M12" s="13" t="s">
        <v>33</v>
      </c>
      <c r="N12" s="13" t="s">
        <v>107</v>
      </c>
      <c r="O12" s="29" t="str">
        <f>HYPERLINK("https://leetcode.com/problems/find-pivot-index/","Find Pivot Index")</f>
        <v>Find Pivot Index</v>
      </c>
      <c r="P12" s="13" t="s">
        <v>33</v>
      </c>
      <c r="Q12" s="13" t="s">
        <v>107</v>
      </c>
      <c r="R12" s="29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33</v>
      </c>
      <c r="T12" s="13" t="s">
        <v>106</v>
      </c>
      <c r="U12" s="13">
        <v>2</v>
      </c>
      <c r="V12" s="13" t="s">
        <v>108</v>
      </c>
      <c r="W12" s="16"/>
    </row>
    <row r="13" spans="1:23" x14ac:dyDescent="0.35">
      <c r="A13" s="10">
        <v>4</v>
      </c>
      <c r="B13" s="23"/>
      <c r="C13" s="15" t="s">
        <v>46</v>
      </c>
    </row>
    <row r="14" spans="1:23" x14ac:dyDescent="0.35">
      <c r="A14" s="10">
        <v>5</v>
      </c>
      <c r="B14" s="23">
        <f>B12+1</f>
        <v>45806</v>
      </c>
      <c r="C14" s="15" t="s">
        <v>47</v>
      </c>
      <c r="D14" s="13" t="s">
        <v>42</v>
      </c>
      <c r="E14" s="13">
        <v>2</v>
      </c>
      <c r="F14" s="31" t="str">
        <f>HYPERLINK("https://leetcode.com/problems/valid-palindrome/","Valid Palindrome")</f>
        <v>Valid Palindrome</v>
      </c>
      <c r="G14" s="32" t="s">
        <v>33</v>
      </c>
      <c r="H14" s="32" t="s">
        <v>107</v>
      </c>
      <c r="I14" s="31" t="str">
        <f>HYPERLINK("https://leetcode.com/problems/reverse-string/","Reverse String")</f>
        <v>Reverse String</v>
      </c>
      <c r="J14" s="32" t="s">
        <v>33</v>
      </c>
      <c r="K14" s="32" t="s">
        <v>107</v>
      </c>
      <c r="L14" s="31" t="str">
        <f>HYPERLINK("https://leetcode.com/problems/length-of-last-word/","Length of Last Word")</f>
        <v>Length of Last Word</v>
      </c>
      <c r="M14" s="32" t="s">
        <v>33</v>
      </c>
      <c r="N14" s="32" t="s">
        <v>107</v>
      </c>
      <c r="O14" s="33" t="str">
        <f>HYPERLINK("https://leetcode.com/problems/reverse-words-in-a-string/","Reverse Words in a String")</f>
        <v>Reverse Words in a String</v>
      </c>
      <c r="P14" s="32" t="s">
        <v>33</v>
      </c>
      <c r="Q14" s="32" t="s">
        <v>106</v>
      </c>
      <c r="R14" s="33" t="str">
        <f>HYPERLINK("https://leetcode.com/problems/shortest-palindrome/","Shortest Palindrome")</f>
        <v>Shortest Palindrome</v>
      </c>
      <c r="S14" s="32" t="s">
        <v>34</v>
      </c>
      <c r="T14" s="32" t="s">
        <v>109</v>
      </c>
      <c r="U14" s="13">
        <v>4</v>
      </c>
      <c r="V14" s="13"/>
      <c r="W14" s="16"/>
    </row>
    <row r="15" spans="1:23" x14ac:dyDescent="0.35">
      <c r="A15" s="10">
        <v>6</v>
      </c>
      <c r="B15" s="23"/>
      <c r="C15" s="15" t="s">
        <v>48</v>
      </c>
      <c r="D15" s="14" t="s">
        <v>110</v>
      </c>
      <c r="E15" s="14"/>
      <c r="F15" s="12"/>
      <c r="G15" s="14"/>
      <c r="H15" s="14"/>
      <c r="I15" s="12"/>
      <c r="J15" s="14"/>
      <c r="K15" s="14"/>
      <c r="L15" s="12"/>
      <c r="M15" s="14"/>
      <c r="N15" s="14"/>
      <c r="O15" s="12"/>
      <c r="P15" s="14"/>
      <c r="Q15" s="14"/>
      <c r="R15" s="12"/>
      <c r="S15" s="14"/>
      <c r="T15" s="14"/>
      <c r="U15" s="14"/>
      <c r="V15" s="14"/>
      <c r="W15" s="17"/>
    </row>
    <row r="16" spans="1:23" ht="29" x14ac:dyDescent="0.35">
      <c r="A16" s="10">
        <v>7</v>
      </c>
      <c r="B16" s="23"/>
      <c r="C16" s="15" t="s">
        <v>49</v>
      </c>
      <c r="D16" s="13" t="s">
        <v>111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x14ac:dyDescent="0.35">
      <c r="A17" s="10">
        <v>8</v>
      </c>
      <c r="B17" s="23"/>
      <c r="C17" s="15" t="s">
        <v>50</v>
      </c>
      <c r="D17" s="14"/>
      <c r="E17" s="14"/>
      <c r="F17" s="12"/>
      <c r="G17" s="14"/>
      <c r="H17" s="14"/>
      <c r="I17" s="12"/>
      <c r="J17" s="14"/>
      <c r="K17" s="14"/>
      <c r="L17" s="12"/>
      <c r="M17" s="14"/>
      <c r="N17" s="14"/>
      <c r="O17" s="12"/>
      <c r="P17" s="14"/>
      <c r="Q17" s="14"/>
      <c r="R17" s="12"/>
      <c r="S17" s="14"/>
      <c r="T17" s="14"/>
      <c r="U17" s="14"/>
      <c r="V17" s="14"/>
      <c r="W17" s="17"/>
    </row>
    <row r="18" spans="1:23" x14ac:dyDescent="0.35">
      <c r="A18" s="10">
        <v>9</v>
      </c>
      <c r="B18" s="23"/>
      <c r="C18" s="15" t="s">
        <v>51</v>
      </c>
      <c r="D18" s="13"/>
      <c r="E18" s="13"/>
      <c r="F18" s="11"/>
      <c r="G18" s="13"/>
      <c r="H18" s="13"/>
      <c r="I18" s="11"/>
      <c r="J18" s="13"/>
      <c r="K18" s="13"/>
      <c r="L18" s="11"/>
      <c r="M18" s="13"/>
      <c r="N18" s="13"/>
      <c r="O18" s="11"/>
      <c r="P18" s="13"/>
      <c r="Q18" s="13"/>
      <c r="R18" s="11"/>
      <c r="S18" s="13"/>
      <c r="T18" s="13"/>
      <c r="U18" s="13"/>
      <c r="V18" s="13"/>
      <c r="W18" s="16"/>
    </row>
    <row r="19" spans="1:23" x14ac:dyDescent="0.35">
      <c r="A19" s="10">
        <v>10</v>
      </c>
      <c r="B19" s="23"/>
      <c r="C19" s="15" t="s">
        <v>52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29" x14ac:dyDescent="0.35">
      <c r="A20" s="10">
        <v>11</v>
      </c>
      <c r="B20" s="23"/>
      <c r="C20" s="30" t="s">
        <v>53</v>
      </c>
      <c r="D20" s="13"/>
      <c r="E20" s="13"/>
      <c r="F20" s="11"/>
      <c r="G20" s="13"/>
      <c r="H20" s="13"/>
      <c r="I20" s="11"/>
      <c r="J20" s="13"/>
      <c r="K20" s="13"/>
      <c r="L20" s="11"/>
      <c r="M20" s="13"/>
      <c r="N20" s="13"/>
      <c r="O20" s="11"/>
      <c r="P20" s="13"/>
      <c r="Q20" s="13"/>
      <c r="R20" s="11"/>
      <c r="S20" s="13"/>
      <c r="T20" s="13"/>
      <c r="U20" s="13"/>
      <c r="V20" s="13"/>
      <c r="W20" s="16"/>
    </row>
    <row r="21" spans="1:23" x14ac:dyDescent="0.35">
      <c r="A21" s="10">
        <v>12</v>
      </c>
      <c r="B21" s="23"/>
      <c r="C21" s="15" t="s">
        <v>54</v>
      </c>
      <c r="D21" s="14"/>
      <c r="E21" s="14"/>
      <c r="F21" s="12"/>
      <c r="G21" s="14"/>
      <c r="H21" s="14"/>
      <c r="I21" s="12"/>
      <c r="J21" s="14"/>
      <c r="K21" s="14"/>
      <c r="L21" s="12"/>
      <c r="M21" s="14"/>
      <c r="N21" s="14"/>
      <c r="O21" s="12"/>
      <c r="P21" s="14"/>
      <c r="Q21" s="14"/>
      <c r="R21" s="12"/>
      <c r="S21" s="14"/>
      <c r="T21" s="14"/>
      <c r="U21" s="14"/>
      <c r="V21" s="14"/>
      <c r="W21" s="17"/>
    </row>
    <row r="22" spans="1:23" x14ac:dyDescent="0.35">
      <c r="A22" s="10">
        <v>13</v>
      </c>
      <c r="B22" s="23"/>
      <c r="C22" s="15" t="s">
        <v>55</v>
      </c>
      <c r="D22" s="13"/>
      <c r="E22" s="13"/>
      <c r="F22" s="11"/>
      <c r="G22" s="13"/>
      <c r="H22" s="13"/>
      <c r="I22" s="11"/>
      <c r="J22" s="13"/>
      <c r="K22" s="13"/>
      <c r="L22" s="11"/>
      <c r="M22" s="13"/>
      <c r="N22" s="13"/>
      <c r="O22" s="11"/>
      <c r="P22" s="13"/>
      <c r="Q22" s="13"/>
      <c r="R22" s="11"/>
      <c r="S22" s="13"/>
      <c r="T22" s="13"/>
      <c r="U22" s="13"/>
      <c r="V22" s="13"/>
      <c r="W22" s="16"/>
    </row>
    <row r="23" spans="1:23" x14ac:dyDescent="0.35">
      <c r="A23" s="10">
        <v>14</v>
      </c>
      <c r="B23" s="23"/>
      <c r="C23" s="15" t="s">
        <v>56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ht="29" x14ac:dyDescent="0.35">
      <c r="A24" s="10">
        <v>15</v>
      </c>
      <c r="B24" s="23"/>
      <c r="C24" s="15" t="s">
        <v>57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ht="29" x14ac:dyDescent="0.35">
      <c r="A25" s="10">
        <v>16</v>
      </c>
      <c r="B25" s="23"/>
      <c r="C25" s="15" t="s">
        <v>30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58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ht="29" x14ac:dyDescent="0.35">
      <c r="A27" s="10">
        <v>18</v>
      </c>
      <c r="B27" s="23"/>
      <c r="C27" s="15" t="s">
        <v>59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60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61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62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63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64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ht="29" x14ac:dyDescent="0.35">
      <c r="A33" s="10">
        <v>24</v>
      </c>
      <c r="B33" s="23"/>
      <c r="C33" s="15" t="s">
        <v>65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15" t="s">
        <v>66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15" t="s">
        <v>67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68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69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70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71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15" t="s">
        <v>73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15" t="s">
        <v>74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15" t="s">
        <v>75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15" t="s">
        <v>76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15" t="s">
        <v>77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ht="29" x14ac:dyDescent="0.35">
      <c r="A45" s="10">
        <v>36</v>
      </c>
      <c r="B45" s="23"/>
      <c r="C45" s="15" t="s">
        <v>78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15" t="s">
        <v>79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15" t="s">
        <v>80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15" t="s">
        <v>81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ht="29" x14ac:dyDescent="0.35">
      <c r="A49" s="10">
        <v>40</v>
      </c>
      <c r="B49" s="23"/>
      <c r="C49" s="15" t="s">
        <v>82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15" t="s">
        <v>83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15" t="s">
        <v>84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15" t="s">
        <v>85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15" t="s">
        <v>86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15" t="s">
        <v>87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15" t="s">
        <v>88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15" t="s">
        <v>89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15" t="s">
        <v>90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15" t="s">
        <v>91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15" t="s">
        <v>92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ht="29" x14ac:dyDescent="0.35">
      <c r="A60" s="10">
        <v>51</v>
      </c>
      <c r="B60" s="23"/>
      <c r="C60" s="15" t="s">
        <v>93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15" t="s">
        <v>94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15" t="s">
        <v>95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15" t="s">
        <v>96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ht="29" x14ac:dyDescent="0.35">
      <c r="A64" s="10">
        <v>55</v>
      </c>
      <c r="B64" s="23"/>
      <c r="C64" s="15" t="s">
        <v>97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ht="29" x14ac:dyDescent="0.35">
      <c r="A65" s="10">
        <v>56</v>
      </c>
      <c r="B65" s="23"/>
      <c r="C65" s="15" t="s">
        <v>98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99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100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101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102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31</v>
      </c>
    </row>
    <row r="72" spans="1:23" x14ac:dyDescent="0.35">
      <c r="A72" t="s">
        <v>32</v>
      </c>
      <c r="B72" s="18" t="s">
        <v>33</v>
      </c>
      <c r="C72" s="19" t="s">
        <v>34</v>
      </c>
      <c r="D72" s="20" t="s">
        <v>35</v>
      </c>
      <c r="E72" s="21" t="s">
        <v>36</v>
      </c>
    </row>
    <row r="73" spans="1:23" x14ac:dyDescent="0.35">
      <c r="A73" t="s">
        <v>37</v>
      </c>
      <c r="B73" s="27" t="s">
        <v>38</v>
      </c>
    </row>
    <row r="74" spans="1:23" x14ac:dyDescent="0.35">
      <c r="A74" t="s">
        <v>39</v>
      </c>
      <c r="B74" s="27" t="s">
        <v>40</v>
      </c>
    </row>
    <row r="75" spans="1:23" x14ac:dyDescent="0.35">
      <c r="A75" t="s">
        <v>41</v>
      </c>
      <c r="B75" s="27" t="s">
        <v>104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5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2 D14:D69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2026-05-30T04:24:18Z</dcterms:modified>
</cp:coreProperties>
</file>