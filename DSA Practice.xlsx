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CC1597EC-5F82-455F-8EC1-64941F817800}" xr6:coauthVersionLast="47" xr6:coauthVersionMax="47" xr10:uidLastSave="{00000000-0000-0000-0000-000000000000}"/>
  <bookViews>
    <workbookView xWindow="-90" yWindow="-90" windowWidth="19380" windowHeight="1026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0" i="1" l="1"/>
  <c r="O20" i="1"/>
  <c r="L20" i="1"/>
  <c r="I20" i="1"/>
  <c r="F20" i="1"/>
  <c r="R18" i="1"/>
  <c r="B18" i="1"/>
  <c r="F18" i="1"/>
  <c r="O18" i="1"/>
  <c r="L18" i="1"/>
  <c r="I18" i="1"/>
  <c r="I17" i="1"/>
  <c r="R17" i="1"/>
  <c r="O17" i="1"/>
  <c r="B17" i="1"/>
  <c r="F17" i="1"/>
  <c r="L17" i="1"/>
  <c r="R15" i="1"/>
  <c r="O15" i="1"/>
  <c r="L15" i="1"/>
  <c r="I15" i="1"/>
  <c r="F15" i="1"/>
  <c r="B15" i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<sst xmlns="http://schemas.openxmlformats.org/spreadsheetml/2006/main" count="197" uniqueCount="114">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</sst>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/mmm/yyyy"/>
  </numFmts>
  <fonts count="1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 applyAlignment="1"/>
    <xf numFmtId="0" fontId="3" fillId="14" borderId="1" xfId="0" applyFont="1" applyFill="1" applyBorder="1" applyAlignment="1">
      <alignment horizontal="center"/>
    </xf>
    <xf numFmtId="166" fontId="0" fillId="14" borderId="1" xfId="0" applyNumberFormat="1" applyFill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0" fillId="14" borderId="1" xfId="0" applyFill="1" applyBorder="1" applyAlignment="1">
      <alignment horizontal="center"/>
    </xf>
    <xf numFmtId="0" fontId="4" fillId="14" borderId="1" xfId="1" applyFill="1" applyBorder="1"/>
    <xf numFmtId="0" fontId="0" fillId="14" borderId="0" xfId="0" applyFill="1"/>
    <xf numFmtId="3" fontId="0" fillId="8" borderId="1" xfId="0" applyNumberFormat="1" applyFill="1" applyBorder="1" applyAlignment="1">
      <alignment wrapText="1"/>
    </xf>
    <xf numFmtId="3" fontId="0" fillId="14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topLeftCell="C5" zoomScale="73" zoomScaleNormal="85" workbookViewId="0">
      <selection activeCell="H23" sqref="H23"/>
    </sheetView>
  </sheetViews>
  <sheetFormatPr defaultRowHeight="14.5" x14ac:dyDescent="0.35"/>
  <cols>
    <col min="1" max="1" width="20.453125" customWidth="1"/>
    <col min="2" max="2" width="16.90625" style="22" customWidth="1"/>
    <col min="3" max="3" width="42.0898437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bestFit="1" customWidth="1"/>
    <col min="9" max="9" width="21.81640625" bestFit="1" customWidth="1"/>
    <col min="10" max="10" width="8.6328125" bestFit="1" customWidth="1"/>
    <col min="11" max="11" width="9.26953125" customWidth="1"/>
    <col min="12" max="12" width="23.54296875" bestFit="1" customWidth="1"/>
    <col min="13" max="13" width="8.6328125" bestFit="1" customWidth="1"/>
    <col min="14" max="14" width="6.36328125" bestFit="1" customWidth="1"/>
    <col min="15" max="15" width="23.36328125" bestFit="1" customWidth="1"/>
    <col min="16" max="16" width="8.81640625" bestFit="1" customWidth="1"/>
    <col min="17" max="17" width="7.6328125" bestFit="1" customWidth="1"/>
    <col min="18" max="18" width="21.26953125" customWidth="1"/>
    <col min="19" max="19" width="8.6328125" bestFit="1" customWidth="1"/>
    <col min="20" max="20" width="7.6328125" bestFit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71</v>
      </c>
      <c r="C1" t="s">
        <v>112</v>
      </c>
    </row>
    <row r="2" spans="1:23" x14ac:dyDescent="0.35">
      <c r="A2" s="2" t="s">
        <v>102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35</v>
      </c>
      <c r="E5" s="22" t="s">
        <v>3</v>
      </c>
      <c r="F5" s="6">
        <f>D5/B5</f>
        <v>0.11666666666666667</v>
      </c>
    </row>
    <row r="6" spans="1:23" s="22" customFormat="1" x14ac:dyDescent="0.35">
      <c r="A6" s="22" t="s">
        <v>4</v>
      </c>
      <c r="B6" s="5">
        <f>COUNTIF(V10:V69,"Done")</f>
        <v>7</v>
      </c>
      <c r="C6" s="22" t="s">
        <v>5</v>
      </c>
      <c r="D6" s="7">
        <f>60-B6</f>
        <v>53</v>
      </c>
      <c r="E6" s="22" t="s">
        <v>6</v>
      </c>
      <c r="F6" s="8">
        <f>IFERROR(AVERAGE(U10:U69),0)</f>
        <v>2.7142857142857144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</row>
    <row r="10" spans="1:23" x14ac:dyDescent="0.35">
      <c r="A10" s="10">
        <v>1</v>
      </c>
      <c r="B10" s="23">
        <v>45803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44" t="s">
        <v>113</v>
      </c>
    </row>
    <row r="11" spans="1:23" x14ac:dyDescent="0.35">
      <c r="A11" s="10">
        <v>2</v>
      </c>
      <c r="B11" s="23">
        <v>45804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</row>
    <row r="12" spans="1:23" x14ac:dyDescent="0.35">
      <c r="A12" s="10">
        <v>3</v>
      </c>
      <c r="B12" s="23">
        <f>B11+1</f>
        <v>45805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</row>
    <row r="13" spans="1:23" x14ac:dyDescent="0.35">
      <c r="A13" s="10">
        <v>4</v>
      </c>
      <c r="B13" s="23"/>
      <c r="C13" s="15" t="s">
        <v>45</v>
      </c>
    </row>
    <row r="14" spans="1:23" x14ac:dyDescent="0.35">
      <c r="A14" s="10">
        <v>5</v>
      </c>
      <c r="B14" s="23">
        <f>B12+1</f>
        <v>45806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</row>
    <row r="15" spans="1:23" x14ac:dyDescent="0.35">
      <c r="A15" s="10">
        <v>6</v>
      </c>
      <c r="B15" s="23">
        <f>B14+1</f>
        <v>45807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</row>
    <row r="16" spans="1:23" x14ac:dyDescent="0.35">
      <c r="A16" s="10">
        <v>7</v>
      </c>
      <c r="B16" s="23"/>
      <c r="C16" s="35" t="s">
        <v>48</v>
      </c>
      <c r="D16" s="13" t="s">
        <v>110</v>
      </c>
      <c r="E16" s="13"/>
      <c r="F16" s="32"/>
      <c r="G16" s="13"/>
      <c r="H16" s="13"/>
      <c r="I16" s="31"/>
      <c r="J16" s="13"/>
      <c r="K16" s="13"/>
      <c r="L16" s="31"/>
      <c r="M16" s="13"/>
      <c r="N16" s="13"/>
      <c r="O16" s="31"/>
      <c r="P16" s="13"/>
      <c r="Q16" s="13"/>
      <c r="R16" s="31"/>
      <c r="S16" s="13"/>
      <c r="T16" s="13"/>
      <c r="U16" s="13"/>
      <c r="V16" s="13"/>
      <c r="W16" s="16"/>
    </row>
    <row r="17" spans="1:23" s="41" customFormat="1" x14ac:dyDescent="0.35">
      <c r="A17" s="36">
        <v>8</v>
      </c>
      <c r="B17" s="37">
        <f>B15+1</f>
        <v>45808</v>
      </c>
      <c r="C17" s="38" t="s">
        <v>49</v>
      </c>
      <c r="D17" s="39" t="s">
        <v>41</v>
      </c>
      <c r="E17" s="39">
        <v>2</v>
      </c>
      <c r="F17" s="40" t="str">
        <f>HYPERLINK("https://leetcode.com/problems/ransom-note/","Ransom Note")</f>
        <v>Ransom Note</v>
      </c>
      <c r="G17" s="39" t="s">
        <v>32</v>
      </c>
      <c r="H17" s="39" t="s">
        <v>106</v>
      </c>
      <c r="I17" s="40" t="str">
        <f>HYPERLINK("https://leetcode.com/problems/find-the-difference/description/","FindDifference")</f>
        <v>FindDifference</v>
      </c>
      <c r="J17" s="39" t="s">
        <v>32</v>
      </c>
      <c r="K17" s="39" t="s">
        <v>106</v>
      </c>
      <c r="L17" s="40" t="str">
        <f>HYPERLINK("https://leetcode.com/problems/first-unique-character-in-a-string/","First Unique Character in a String")</f>
        <v>First Unique Character in a String</v>
      </c>
      <c r="M17" s="39" t="s">
        <v>32</v>
      </c>
      <c r="N17" s="39" t="s">
        <v>106</v>
      </c>
      <c r="O17" s="40" t="str">
        <f>HYPERLINK("https://leetcode.com/problems/word-pattern/","Word Pattern")</f>
        <v>Word Pattern</v>
      </c>
      <c r="P17" s="39" t="s">
        <v>32</v>
      </c>
      <c r="Q17" s="39" t="s">
        <v>106</v>
      </c>
      <c r="R17" s="40" t="str">
        <f>HYPERLINK("https://leetcode.com/problems/isomorphic-strings/","Isomorphic Strings")</f>
        <v>Isomorphic Strings</v>
      </c>
      <c r="S17" s="39" t="s">
        <v>32</v>
      </c>
      <c r="T17" s="39" t="s">
        <v>106</v>
      </c>
      <c r="U17" s="39">
        <v>2</v>
      </c>
      <c r="V17" s="39" t="s">
        <v>107</v>
      </c>
      <c r="W17" s="43">
        <v>2916474</v>
      </c>
    </row>
    <row r="18" spans="1:23" x14ac:dyDescent="0.35">
      <c r="A18" s="10">
        <v>9</v>
      </c>
      <c r="B18" s="23">
        <f>B17</f>
        <v>45808</v>
      </c>
      <c r="C18" s="15" t="s">
        <v>50</v>
      </c>
      <c r="D18" s="13" t="s">
        <v>111</v>
      </c>
      <c r="E18" s="13"/>
      <c r="F18" s="32" t="str">
        <f>HYPERLINK("https://leetcode.com/problems/is-subsequence/","is-Subsequence")</f>
        <v>is-Subsequence</v>
      </c>
      <c r="G18" s="13" t="s">
        <v>33</v>
      </c>
      <c r="H18" s="13" t="s">
        <v>106</v>
      </c>
      <c r="I18" s="40" t="str">
        <f>HYPERLINK("https://leetcode.com/problems/valid-sudoku/description/","isValidSudoku")</f>
        <v>isValidSudoku</v>
      </c>
      <c r="J18" s="13" t="s">
        <v>32</v>
      </c>
      <c r="K18" s="13" t="s">
        <v>105</v>
      </c>
      <c r="L18" s="31" t="str">
        <f>HYPERLINK("https://leetcode.com/problems/top-k-frequent-elements/","Top K Frequent Elements")</f>
        <v>Top K Frequent Elements</v>
      </c>
      <c r="M18" s="13" t="s">
        <v>32</v>
      </c>
      <c r="N18" s="13" t="s">
        <v>105</v>
      </c>
      <c r="O18" s="31" t="str">
        <f>HYPERLINK("https://leetcode.com/problems/longest-consecutive-sequence/","Longest Consecutive Sequence")</f>
        <v>Longest Consecutive Sequence</v>
      </c>
      <c r="P18" s="13" t="s">
        <v>32</v>
      </c>
      <c r="Q18" s="13" t="s">
        <v>105</v>
      </c>
      <c r="R18" s="40" t="str">
        <f>HYPERLINK("https://leetcode.com/problems/letter-combinations-of-a-phone-number/","LetterCombinationsNokia")</f>
        <v>LetterCombinationsNokia</v>
      </c>
      <c r="S18" s="13" t="s">
        <v>34</v>
      </c>
      <c r="T18" s="13" t="s">
        <v>105</v>
      </c>
      <c r="U18" s="13">
        <v>3</v>
      </c>
      <c r="V18" s="13" t="s">
        <v>107</v>
      </c>
      <c r="W18" s="42">
        <v>2688647</v>
      </c>
    </row>
    <row r="19" spans="1:23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16.5" customHeight="1" x14ac:dyDescent="0.35">
      <c r="A20" s="10">
        <v>11</v>
      </c>
      <c r="B20" s="23"/>
      <c r="C20" s="33" t="s">
        <v>52</v>
      </c>
      <c r="D20" s="13"/>
      <c r="E20" s="13"/>
      <c r="F20" s="31" t="str">
        <f>HYPERLINK("https://leetcode.com/problems/reverse-linked-list/","Reverse Linked List")</f>
        <v>Reverse Linked List</v>
      </c>
      <c r="G20" s="13"/>
      <c r="H20" s="13" t="s">
        <v>106</v>
      </c>
      <c r="I20" s="31" t="str">
        <f>HYPERLINK("https://leetcode.com/problems/linked-list-cycle/","Linked List Cycle")</f>
        <v>Linked List Cycle</v>
      </c>
      <c r="J20" s="13"/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/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/>
      <c r="Q20" s="13" t="s">
        <v>106</v>
      </c>
      <c r="R20" s="31" t="str">
        <f>HYPERLINK("https://leetcode.com/problems/linked-list-cycle-ii/","Linked List Cycle II")</f>
        <v>Linked List Cycle II</v>
      </c>
      <c r="S20" s="13"/>
      <c r="T20" s="13" t="s">
        <v>105</v>
      </c>
      <c r="U20" s="13"/>
      <c r="V20" s="13"/>
      <c r="W20" s="16"/>
    </row>
    <row r="21" spans="1:23" x14ac:dyDescent="0.35">
      <c r="A21" s="10">
        <v>12</v>
      </c>
      <c r="B21" s="23"/>
      <c r="C21" s="15" t="s">
        <v>53</v>
      </c>
      <c r="D21" s="14"/>
      <c r="E21" s="14"/>
      <c r="F21" s="12"/>
      <c r="G21" s="14"/>
      <c r="H21" s="14"/>
      <c r="I21" s="12"/>
      <c r="J21" s="14"/>
      <c r="K21" s="14"/>
      <c r="L21" s="12"/>
      <c r="M21" s="14"/>
      <c r="N21" s="14"/>
      <c r="O21" s="12"/>
      <c r="P21" s="14"/>
      <c r="Q21" s="14"/>
      <c r="R21" s="12"/>
      <c r="S21" s="14"/>
      <c r="T21" s="14"/>
      <c r="U21" s="14"/>
      <c r="V21" s="14"/>
      <c r="W21" s="17"/>
    </row>
    <row r="22" spans="1:23" x14ac:dyDescent="0.35">
      <c r="A22" s="10">
        <v>13</v>
      </c>
      <c r="B22" s="23"/>
      <c r="C22" s="15" t="s">
        <v>54</v>
      </c>
      <c r="D22" s="13"/>
      <c r="E22" s="13"/>
      <c r="F22" s="11"/>
      <c r="G22" s="13"/>
      <c r="H22" s="13"/>
      <c r="I22" s="11"/>
      <c r="J22" s="13"/>
      <c r="K22" s="13"/>
      <c r="L22" s="11"/>
      <c r="M22" s="13"/>
      <c r="N22" s="13"/>
      <c r="O22" s="11"/>
      <c r="P22" s="13"/>
      <c r="Q22" s="13"/>
      <c r="R22" s="11"/>
      <c r="S22" s="13"/>
      <c r="T22" s="13"/>
      <c r="U22" s="13"/>
      <c r="V22" s="13"/>
      <c r="W22" s="16"/>
    </row>
    <row r="23" spans="1:23" x14ac:dyDescent="0.35">
      <c r="A23" s="10">
        <v>14</v>
      </c>
      <c r="B23" s="23"/>
      <c r="C23" s="15" t="s">
        <v>55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x14ac:dyDescent="0.35">
      <c r="A25" s="10">
        <v>16</v>
      </c>
      <c r="B25" s="23"/>
      <c r="C25" s="35" t="s">
        <v>29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57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x14ac:dyDescent="0.35">
      <c r="A27" s="10">
        <v>18</v>
      </c>
      <c r="B27" s="23"/>
      <c r="C27" s="35" t="s">
        <v>58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59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15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15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30</v>
      </c>
    </row>
    <row r="72" spans="1:23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3" x14ac:dyDescent="0.35">
      <c r="A73" t="s">
        <v>36</v>
      </c>
      <c r="B73" s="27" t="s">
        <v>37</v>
      </c>
    </row>
    <row r="74" spans="1:23" x14ac:dyDescent="0.35">
      <c r="A74" t="s">
        <v>38</v>
      </c>
      <c r="B74" s="27" t="s">
        <v>39</v>
      </c>
    </row>
    <row r="75" spans="1:23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5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2 D14:D69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2026-05-31T18:57:49Z</dcterms:modified>
</cp:coreProperties>
</file>