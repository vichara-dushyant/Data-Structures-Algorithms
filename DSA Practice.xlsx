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hyant\Desktop\DSA Practice\Data-Structures-Algorithms\"/>
    </mc:Choice>
  </mc:AlternateContent>
  <xr:revisionPtr revIDLastSave="0" documentId="13_ncr:1_{330004BA-C737-4397-88AA-31B8EDDCC223}" xr6:coauthVersionLast="47" xr6:coauthVersionMax="47" xr10:uidLastSave="{00000000-0000-0000-0000-000000000000}"/>
  <bookViews>
    <workbookView xWindow="-110" yWindow="-110" windowWidth="19420" windowHeight="10300" xr2:uid="{11A40645-F60E-40B0-9503-F1433C5B7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I21" i="1"/>
  <c r="L21" i="1"/>
  <c r="O21" i="1"/>
  <c r="R21" i="1"/>
  <c r="R20" i="1"/>
  <c r="O20" i="1"/>
  <c r="L20" i="1"/>
  <c r="I20" i="1"/>
  <c r="F20" i="1"/>
  <c r="R18" i="1"/>
  <c r="F18" i="1"/>
  <c r="O18" i="1"/>
  <c r="L18" i="1"/>
  <c r="I18" i="1"/>
  <c r="I17" i="1"/>
  <c r="R17" i="1"/>
  <c r="O17" i="1"/>
  <c r="F17" i="1"/>
  <c r="L17" i="1"/>
  <c r="R15" i="1"/>
  <c r="O15" i="1"/>
  <c r="L15" i="1"/>
  <c r="I15" i="1"/>
  <c r="F15" i="1"/>
  <c r="B15" i="1"/>
  <c r="B17" i="1" s="1"/>
  <c r="B18" i="1" s="1"/>
  <c r="R14" i="1"/>
  <c r="O14" i="1"/>
  <c r="L14" i="1"/>
  <c r="I14" i="1"/>
  <c r="F14" i="1"/>
  <c r="R12" i="1"/>
  <c r="O12" i="1"/>
  <c r="L12" i="1"/>
  <c r="I12" i="1"/>
  <c r="F12" i="1"/>
  <c r="R10" i="1"/>
  <c r="O10" i="1"/>
  <c r="L10" i="1"/>
  <c r="I10" i="1"/>
  <c r="F10" i="1"/>
  <c r="R11" i="1"/>
  <c r="O11" i="1"/>
  <c r="L11" i="1"/>
  <c r="I11" i="1"/>
  <c r="F11" i="1"/>
  <c r="B6" i="1"/>
  <c r="D6" i="1" s="1"/>
  <c r="F6" i="1"/>
  <c r="D5" i="1" a="1"/>
  <c r="D5" i="1" s="1"/>
  <c r="F5" i="1" s="1"/>
  <c r="B12" i="1"/>
  <c r="B14" i="1" s="1"/>
  <c r="B20" i="1" l="1"/>
  <c r="B21" i="1" s="1"/>
  <c r="B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<sst xmlns="http://schemas.openxmlformats.org/spreadsheetml/2006/main" count="257" uniqueCount="130">
  <si>
    <t>Quick Stats</t>
  </si>
  <si>
    <t>Total Problems Target</t>
  </si>
  <si>
    <t>Problems Solved</t>
  </si>
  <si>
    <t>Completion %</t>
  </si>
  <si>
    <t>Days Completed</t>
  </si>
  <si>
    <t>Days Remaining</t>
  </si>
  <si>
    <t>Avg Confidence</t>
  </si>
  <si>
    <t>Daily Log</t>
  </si>
  <si>
    <t>Day</t>
  </si>
  <si>
    <t>Date</t>
  </si>
  <si>
    <t>Topic Focus</t>
  </si>
  <si>
    <t>Difficulty Mix</t>
  </si>
  <si>
    <t>Time Spent (hrs)</t>
  </si>
  <si>
    <t>Problem 1</t>
  </si>
  <si>
    <t>P1 Status</t>
  </si>
  <si>
    <t>P1 Diff</t>
  </si>
  <si>
    <t>Problem 2</t>
  </si>
  <si>
    <t>P2 Status</t>
  </si>
  <si>
    <t>P2 Diff</t>
  </si>
  <si>
    <t>Problem 3</t>
  </si>
  <si>
    <t>P3 Status</t>
  </si>
  <si>
    <t>P3 Diff</t>
  </si>
  <si>
    <t>Problem 4</t>
  </si>
  <si>
    <t>P4 Status</t>
  </si>
  <si>
    <t>P4 Diff</t>
  </si>
  <si>
    <t>Problem 5</t>
  </si>
  <si>
    <t>P5 Status</t>
  </si>
  <si>
    <t>Confidence (1-5)</t>
  </si>
  <si>
    <t>Day Status</t>
  </si>
  <si>
    <t>Queues &amp; Deque - Sliding Window Maximum</t>
  </si>
  <si>
    <t>Legend &amp; Instructions</t>
  </si>
  <si>
    <t>Status Options:</t>
  </si>
  <si>
    <t>Solved</t>
  </si>
  <si>
    <t>Partial</t>
  </si>
  <si>
    <t>Stuck</t>
  </si>
  <si>
    <t>Skipped</t>
  </si>
  <si>
    <t>Difficulty Mix:</t>
  </si>
  <si>
    <t>e.g., 2E-2M-1H = 2 Easy, 2 Medium, 1 Hard</t>
  </si>
  <si>
    <t>Confidence:</t>
  </si>
  <si>
    <t>1 = Forgot completely  →  5 = Can solve in interview</t>
  </si>
  <si>
    <t>How to use:</t>
  </si>
  <si>
    <t>All Easy</t>
  </si>
  <si>
    <t>Arrays - Basics, Traversal &amp; Two Pointers</t>
  </si>
  <si>
    <t>Arrays - Two Pointers &amp; Sorting Patterns</t>
  </si>
  <si>
    <t>Arrays - Sliding Window (Fixed &amp; Variable)</t>
  </si>
  <si>
    <t>Arrays - Prefix Sum &amp; Subarray Problems</t>
  </si>
  <si>
    <t>Strings - Basics &amp; Manipulation</t>
  </si>
  <si>
    <t>Strings - Palindromes &amp; Anagrams</t>
  </si>
  <si>
    <t>Strings - Pattern Matching (KMP, Rabin-Karp)</t>
  </si>
  <si>
    <t>Hashing - HashMap Fundamentals</t>
  </si>
  <si>
    <t>Hashing - HashSet &amp; Frequency Problems</t>
  </si>
  <si>
    <t>Hashing - Group &amp; Count Patterns</t>
  </si>
  <si>
    <t>Linked List - Singly (Reverse, Cycle Detection)</t>
  </si>
  <si>
    <t>Linked List - Merge, Sort &amp; Intersection</t>
  </si>
  <si>
    <t>Linked List - Doubly &amp; Advanced Problems</t>
  </si>
  <si>
    <t>Stacks - Basics &amp; Expression Evaluation</t>
  </si>
  <si>
    <t>Stacks - Monotonic Stack (Next Greater, Histogram)</t>
  </si>
  <si>
    <t>Recursion - Basics &amp; Tree of Calls</t>
  </si>
  <si>
    <t>Recursion - String/Array Recursion Problems</t>
  </si>
  <si>
    <t>Backtracking - Subsets &amp; Combinations</t>
  </si>
  <si>
    <t>Backtracking - Permutations &amp; N-Queens</t>
  </si>
  <si>
    <t>Binary Search - Standard (Sorted Arrays)</t>
  </si>
  <si>
    <t>Binary Search - On Answer &amp; Rotated Arrays</t>
  </si>
  <si>
    <t>Sorting - Merge Sort &amp; Quick Sort</t>
  </si>
  <si>
    <t>Sorting - Custom Comparators &amp; Counting Sort</t>
  </si>
  <si>
    <t>Bit Manipulation - Basics &amp; XOR Tricks</t>
  </si>
  <si>
    <t>Bit Manipulation - Subsets &amp; Bit DP</t>
  </si>
  <si>
    <t>Math &amp; Number Theory (GCD, Primes, Sieve)</t>
  </si>
  <si>
    <t>Math - Modular Arithmetic &amp; Power</t>
  </si>
  <si>
    <t>Trees - Binary Tree Traversals (Rec &amp; Iter)</t>
  </si>
  <si>
    <t>Trees - Height, Diameter &amp; Path Problems</t>
  </si>
  <si>
    <t>DSA Practice Tracker</t>
  </si>
  <si>
    <t>Trees - Views, LCA &amp; Serialize/Deserialize</t>
  </si>
  <si>
    <t>BST - Search, Insert, Delete</t>
  </si>
  <si>
    <t>BST - Validation &amp; Inorder Problems</t>
  </si>
  <si>
    <t>Heaps / Priority Queue - Basics &amp; Top K</t>
  </si>
  <si>
    <t>Heaps - K-way Merge &amp; Median Stream</t>
  </si>
  <si>
    <t>Tries - Prefix Tree (Insert, Search, StartsWith)</t>
  </si>
  <si>
    <t>Tries - Word Search &amp; Autocomplete</t>
  </si>
  <si>
    <t>Graphs - Representation, BFS Traversal</t>
  </si>
  <si>
    <t>Graphs - DFS, Connected Components</t>
  </si>
  <si>
    <t>Graphs - Cycle Detection (Directed &amp; Undirected)</t>
  </si>
  <si>
    <t>Graphs - Topological Sort (Kahn &amp; DFS)</t>
  </si>
  <si>
    <t>Graphs - Shortest Path (Dijkstra)</t>
  </si>
  <si>
    <t>Graphs - Bellman-Ford &amp; Floyd-Warshall</t>
  </si>
  <si>
    <t>Graphs - Union-Find (DSU) &amp; Applications</t>
  </si>
  <si>
    <t>Graphs - MST (Kruskal &amp; Prim)</t>
  </si>
  <si>
    <t>DP - 1D Basics (Fibonacci, Climbing Stairs)</t>
  </si>
  <si>
    <t>DP - 1D (House Robber, Jump Game)</t>
  </si>
  <si>
    <t>DP - 2D (Grid Paths, Min Path Sum)</t>
  </si>
  <si>
    <t>DP - 2D (LCS, LIS variants)</t>
  </si>
  <si>
    <t>DP - Knapsack 0/1 (Subset Sum, Partition)</t>
  </si>
  <si>
    <t>DP - Unbounded Knapsack (Coin Change, Rod Cut)</t>
  </si>
  <si>
    <t>DP - Strings (Edit Distance, Wildcard)</t>
  </si>
  <si>
    <t>DP - Palindromic Substrings &amp; Partitioning</t>
  </si>
  <si>
    <t>DP - Interval &amp; MCM Pattern</t>
  </si>
  <si>
    <t>Greedy - Interval Scheduling &amp; Activity Selection</t>
  </si>
  <si>
    <t>Greedy - Huffman, Job Sequencing, Gas Station</t>
  </si>
  <si>
    <t>Mixed Hard - Arrays/Strings/Hashing</t>
  </si>
  <si>
    <t>Mixed Hard - Trees/Graphs/DP</t>
  </si>
  <si>
    <t>Mock Interview Day (Random Hard Set)</t>
  </si>
  <si>
    <t>Revision - Weakest Topics Revisit</t>
  </si>
  <si>
    <t>5 problems/day · 60-day roadmap · 2-3 days per topic, easier topics first</t>
  </si>
  <si>
    <t>Pick problems each morning, fill name + status as you go, set Day Status to Done when 5 are complete. Dates auto-fill from your Day 2 entry.</t>
  </si>
  <si>
    <t>3E-2M</t>
  </si>
  <si>
    <t>Medium</t>
  </si>
  <si>
    <t>Easy</t>
  </si>
  <si>
    <t>Done</t>
  </si>
  <si>
    <t>Hard</t>
  </si>
  <si>
    <t>2E-2M-1H</t>
  </si>
  <si>
    <t>1E-2M-2H</t>
  </si>
  <si>
    <t>1E-3M-1H</t>
  </si>
  <si>
    <t>LeetCode Rank</t>
  </si>
  <si>
    <t>~35 Lakhs</t>
  </si>
  <si>
    <t>4E-1M</t>
  </si>
  <si>
    <t>Flatten a Multilevel Doubly Linked List</t>
  </si>
  <si>
    <t>Reverse a Doubly Linked List</t>
  </si>
  <si>
    <t>Delete a Node in Doubly Linked List</t>
  </si>
  <si>
    <t>Insert a Node in Doubly Linked List</t>
  </si>
  <si>
    <t>Find Pairs with Given Sum in DLL</t>
  </si>
  <si>
    <t>Valid Parentheses</t>
  </si>
  <si>
    <t>Min Stack</t>
  </si>
  <si>
    <t>Baseball Game</t>
  </si>
  <si>
    <t>Remove Outermost Parentheses</t>
  </si>
  <si>
    <t>Make The String Great</t>
  </si>
  <si>
    <t>Implement Stack using Queues</t>
  </si>
  <si>
    <t>Implement Queue using Stacks</t>
  </si>
  <si>
    <t>Number of Recent Calls</t>
  </si>
  <si>
    <t>Moving Average from Data Stream</t>
  </si>
  <si>
    <t>Sliding Window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</si>
</sst>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%"/>
    <numFmt numFmtId="165" formatCode="0.0"/>
    <numFmt numFmtId="166" formatCode="dd/mmm/yyyy"/>
    <numFmt numFmtId="167" formatCode="_ * #,##0_ ;_ * \-#,##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1"/>
      <color rgb="FF595959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rgb="FF0563C1"/>
      <name val="Aptos Narrow"/>
      <family val="2"/>
      <scheme val="minor"/>
    </font>
    <font>
      <u/>
      <sz val="11"/>
      <color rgb="FF0563C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17" fillId="0" borderId="0" applyFont="0" applyFill="0" applyBorder="0" applyAlignment="0" applyProtection="0"/>
  </cellStyleXfs>
  <cellXfs count="43">
    <xf numFmtId="0" fontId="0" fillId="0" borderId="0" xfId="0"/>
    <xf numFmtId="0" fontId="5" fillId="2" borderId="0" xfId="0" applyFont="1" applyFill="1" applyAlignment="1">
      <alignment horizontal="left"/>
    </xf>
    <xf numFmtId="0" fontId="7" fillId="0" borderId="0" xfId="0" applyFont="1"/>
    <xf numFmtId="0" fontId="8" fillId="3" borderId="0" xfId="0" applyFont="1" applyFill="1"/>
    <xf numFmtId="0" fontId="9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0" fontId="10" fillId="2" borderId="0" xfId="0" applyFont="1" applyFill="1"/>
    <xf numFmtId="0" fontId="3" fillId="5" borderId="1" xfId="0" applyFont="1" applyFill="1" applyBorder="1" applyAlignment="1">
      <alignment horizontal="center"/>
    </xf>
    <xf numFmtId="0" fontId="0" fillId="8" borderId="1" xfId="0" applyFill="1" applyBorder="1"/>
    <xf numFmtId="0" fontId="0" fillId="0" borderId="1" xfId="0" applyBorder="1"/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9" borderId="0" xfId="0" applyFont="1" applyFill="1" applyAlignment="1">
      <alignment horizontal="center"/>
    </xf>
    <xf numFmtId="0" fontId="12" fillId="10" borderId="0" xfId="0" applyFont="1" applyFill="1" applyAlignment="1">
      <alignment horizontal="center" wrapText="1"/>
    </xf>
    <xf numFmtId="0" fontId="2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left"/>
    </xf>
    <xf numFmtId="0" fontId="14" fillId="8" borderId="1" xfId="1" applyFont="1" applyFill="1" applyBorder="1"/>
    <xf numFmtId="0" fontId="15" fillId="8" borderId="1" xfId="1" applyFont="1" applyFill="1" applyBorder="1"/>
    <xf numFmtId="0" fontId="16" fillId="8" borderId="1" xfId="0" applyFont="1" applyFill="1" applyBorder="1" applyAlignment="1">
      <alignment horizontal="center"/>
    </xf>
    <xf numFmtId="0" fontId="4" fillId="8" borderId="1" xfId="1" applyFill="1" applyBorder="1"/>
    <xf numFmtId="0" fontId="4" fillId="0" borderId="1" xfId="1" applyBorder="1"/>
    <xf numFmtId="0" fontId="3" fillId="13" borderId="1" xfId="0" applyFont="1" applyFill="1" applyBorder="1" applyAlignment="1">
      <alignment vertical="center" wrapText="1"/>
    </xf>
    <xf numFmtId="0" fontId="14" fillId="0" borderId="0" xfId="1" applyFont="1" applyAlignment="1">
      <alignment horizontal="left"/>
    </xf>
    <xf numFmtId="0" fontId="3" fillId="7" borderId="1" xfId="0" applyFont="1" applyFill="1" applyBorder="1"/>
    <xf numFmtId="3" fontId="0" fillId="8" borderId="1" xfId="0" applyNumberFormat="1" applyFill="1" applyBorder="1" applyAlignment="1">
      <alignment wrapText="1"/>
    </xf>
    <xf numFmtId="0" fontId="0" fillId="8" borderId="1" xfId="0" applyFill="1" applyBorder="1" applyAlignment="1">
      <alignment horizontal="center" wrapText="1"/>
    </xf>
    <xf numFmtId="0" fontId="3" fillId="14" borderId="1" xfId="0" applyFont="1" applyFill="1" applyBorder="1" applyAlignment="1">
      <alignment wrapText="1"/>
    </xf>
    <xf numFmtId="167" fontId="0" fillId="0" borderId="1" xfId="2" applyNumberFormat="1" applyFont="1" applyBorder="1" applyAlignment="1">
      <alignment wrapText="1"/>
    </xf>
    <xf numFmtId="167" fontId="0" fillId="8" borderId="1" xfId="2" applyNumberFormat="1" applyFont="1" applyFill="1" applyBorder="1" applyAlignment="1">
      <alignment wrapText="1"/>
    </xf>
    <xf numFmtId="3" fontId="0" fillId="0" borderId="1" xfId="0" applyNumberFormat="1" applyBorder="1" applyAlignment="1">
      <alignment wrapText="1"/>
    </xf>
    <xf numFmtId="0" fontId="3" fillId="15" borderId="1" xfId="0" applyFont="1" applyFill="1" applyBorder="1" applyAlignment="1">
      <alignment wrapText="1"/>
    </xf>
  </cellXfs>
  <cellStyles count="3">
    <cellStyle name="Comma" xfId="2" builtinId="3"/>
    <cellStyle name="Hyperlink" xfId="1" builtinId="8"/>
    <cellStyle name="Normal" xfId="0" builtinId="0"/>
  </cellStyles>
  <dxfs count="23"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595959"/>
      </font>
      <fill>
        <patternFill patternType="solid">
          <fgColor indexed="64"/>
          <bgColor rgb="FFD9D9D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595959"/>
      </font>
      <fill>
        <patternFill patternType="solid">
          <fgColor indexed="64"/>
          <bgColor rgb="FFD9D9D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595959"/>
      </font>
      <fill>
        <patternFill patternType="solid">
          <fgColor indexed="64"/>
          <bgColor rgb="FFD9D9D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595959"/>
      </font>
      <fill>
        <patternFill patternType="solid">
          <fgColor indexed="64"/>
          <bgColor rgb="FFD9D9D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595959"/>
      </font>
      <fill>
        <patternFill patternType="solid">
          <fgColor indexed="64"/>
          <bgColor rgb="FFD9D9D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AA7B64-CE4C-40AA-86AF-44777E0F88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33bc33c-a07b-4139-8198-14c6b76d4ca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in-stack/" TargetMode="External"/><Relationship Id="rId13" Type="http://schemas.openxmlformats.org/officeDocument/2006/relationships/hyperlink" Target="https://leetcode.com/problems/number-of-recent-calls/" TargetMode="External"/><Relationship Id="rId3" Type="http://schemas.openxmlformats.org/officeDocument/2006/relationships/hyperlink" Target="https://www.geeksforgeeks.org/doubly-linked-list/" TargetMode="External"/><Relationship Id="rId7" Type="http://schemas.openxmlformats.org/officeDocument/2006/relationships/hyperlink" Target="https://leetcode.com/problems/make-the-string-great/" TargetMode="External"/><Relationship Id="rId12" Type="http://schemas.openxmlformats.org/officeDocument/2006/relationships/hyperlink" Target="https://leetcode.com/problems/implement-queue-using-stacks/" TargetMode="External"/><Relationship Id="rId2" Type="http://schemas.openxmlformats.org/officeDocument/2006/relationships/hyperlink" Target="https://www.geeksforgeeks.org/delete-a-node-in-a-doubly-linked-list/" TargetMode="External"/><Relationship Id="rId1" Type="http://schemas.openxmlformats.org/officeDocument/2006/relationships/hyperlink" Target="https://www.geeksforgeeks.org/reverse-a-doubly-linked-list/" TargetMode="External"/><Relationship Id="rId6" Type="http://schemas.openxmlformats.org/officeDocument/2006/relationships/hyperlink" Target="https://leetcode.com/problems/valid-parentheses/" TargetMode="External"/><Relationship Id="rId11" Type="http://schemas.openxmlformats.org/officeDocument/2006/relationships/hyperlink" Target="https://leetcode.com/problems/implement-stack-using-queues/" TargetMode="External"/><Relationship Id="rId5" Type="http://schemas.openxmlformats.org/officeDocument/2006/relationships/hyperlink" Target="https://leetcode.com/problems/flatten-a-multilevel-doubly-linked-list/" TargetMode="External"/><Relationship Id="rId15" Type="http://schemas.openxmlformats.org/officeDocument/2006/relationships/hyperlink" Target="https://leetcode.com/problems/sliding-window-maximum/" TargetMode="External"/><Relationship Id="rId10" Type="http://schemas.openxmlformats.org/officeDocument/2006/relationships/hyperlink" Target="https://leetcode.com/problems/remove-outermost-parentheses/" TargetMode="External"/><Relationship Id="rId4" Type="http://schemas.openxmlformats.org/officeDocument/2006/relationships/hyperlink" Target="https://www.geeksforgeeks.org/find-pairs-given-sum-doubly-linked-list/" TargetMode="External"/><Relationship Id="rId9" Type="http://schemas.openxmlformats.org/officeDocument/2006/relationships/hyperlink" Target="https://leetcode.com/problems/baseball-game/" TargetMode="External"/><Relationship Id="rId14" Type="http://schemas.openxmlformats.org/officeDocument/2006/relationships/hyperlink" Target="https://leetcode.com/problems/moving-average-from-data-stre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B1C2-C176-4CCF-B3C5-DBE4B58F00CD}">
  <dimension ref="A1:W75"/>
  <sheetViews>
    <sheetView tabSelected="1" topLeftCell="B20" zoomScale="81" zoomScaleNormal="85" workbookViewId="0">
      <selection activeCell="I32" sqref="I32"/>
    </sheetView>
  </sheetViews>
  <sheetFormatPr defaultRowHeight="14.5" x14ac:dyDescent="0.35"/>
  <cols>
    <col min="1" max="1" width="20.453125" customWidth="1"/>
    <col min="2" max="2" width="16.90625" style="22" customWidth="1"/>
    <col min="3" max="3" width="44.90625" bestFit="1" customWidth="1"/>
    <col min="4" max="4" width="11.90625" bestFit="1" customWidth="1"/>
    <col min="5" max="5" width="14.6328125" bestFit="1" customWidth="1"/>
    <col min="6" max="6" width="25" bestFit="1" customWidth="1"/>
    <col min="7" max="7" width="8.6328125" bestFit="1" customWidth="1"/>
    <col min="8" max="8" width="6.36328125" hidden="1" customWidth="1"/>
    <col min="9" max="9" width="30.6328125" bestFit="1" customWidth="1"/>
    <col min="10" max="10" width="8.6328125" bestFit="1" customWidth="1"/>
    <col min="11" max="11" width="9.26953125" hidden="1" customWidth="1"/>
    <col min="12" max="12" width="31.08984375" bestFit="1" customWidth="1"/>
    <col min="13" max="13" width="8.6328125" bestFit="1" customWidth="1"/>
    <col min="14" max="14" width="6.36328125" hidden="1" customWidth="1"/>
    <col min="15" max="15" width="28" bestFit="1" customWidth="1"/>
    <col min="16" max="16" width="8.81640625" bestFit="1" customWidth="1"/>
    <col min="17" max="17" width="7.6328125" hidden="1" customWidth="1"/>
    <col min="18" max="18" width="42" bestFit="1" customWidth="1"/>
    <col min="19" max="19" width="8.6328125" bestFit="1" customWidth="1"/>
    <col min="20" max="20" width="7.6328125" hidden="1" customWidth="1"/>
    <col min="21" max="21" width="14.90625" bestFit="1" customWidth="1"/>
    <col min="22" max="22" width="9.7265625" bestFit="1" customWidth="1"/>
    <col min="23" max="23" width="12.90625" bestFit="1" customWidth="1"/>
  </cols>
  <sheetData>
    <row r="1" spans="1:23" ht="21" x14ac:dyDescent="0.5">
      <c r="A1" s="1" t="s">
        <v>71</v>
      </c>
      <c r="C1" t="s">
        <v>112</v>
      </c>
    </row>
    <row r="2" spans="1:23" x14ac:dyDescent="0.35">
      <c r="A2" s="2" t="s">
        <v>102</v>
      </c>
    </row>
    <row r="4" spans="1:23" ht="16" x14ac:dyDescent="0.4">
      <c r="A4" s="3" t="s">
        <v>0</v>
      </c>
    </row>
    <row r="5" spans="1:23" s="22" customFormat="1" x14ac:dyDescent="0.35">
      <c r="A5" s="22" t="s">
        <v>1</v>
      </c>
      <c r="B5" s="4">
        <v>300</v>
      </c>
      <c r="C5" s="22" t="s">
        <v>2</v>
      </c>
      <c r="D5" s="5" cm="1">
        <f t="array" ref="D5">SUMPRODUCT((G10:G69&lt;&gt;"")*1)+SUMPRODUCT((J10:J69&lt;&gt;"")*1)+SUMPRODUCT((M10:M69&lt;&gt;"")*1)+SUMPRODUCT((P10:P69&lt;&gt;"")*1)+SUMPRODUCT((S10:S69&lt;&gt;"")*1)</f>
        <v>53</v>
      </c>
      <c r="E5" s="22" t="s">
        <v>3</v>
      </c>
      <c r="F5" s="6">
        <f>D5/B5</f>
        <v>0.17666666666666667</v>
      </c>
    </row>
    <row r="6" spans="1:23" s="22" customFormat="1" x14ac:dyDescent="0.35">
      <c r="A6" s="22" t="s">
        <v>4</v>
      </c>
      <c r="B6" s="5">
        <f>COUNTIF(V10:V69,"Done")</f>
        <v>9</v>
      </c>
      <c r="C6" s="22" t="s">
        <v>5</v>
      </c>
      <c r="D6" s="7">
        <f>60-B6</f>
        <v>51</v>
      </c>
      <c r="E6" s="22" t="s">
        <v>6</v>
      </c>
      <c r="F6" s="8">
        <f>IFERROR(AVERAGE(U10:U69),0)</f>
        <v>2.4545454545454546</v>
      </c>
    </row>
    <row r="8" spans="1:23" ht="17" x14ac:dyDescent="0.4">
      <c r="A8" s="9" t="s">
        <v>7</v>
      </c>
    </row>
    <row r="9" spans="1:23" s="26" customFormat="1" ht="28" customHeight="1" x14ac:dyDescent="0.35">
      <c r="A9" s="24" t="s">
        <v>8</v>
      </c>
      <c r="B9" s="24" t="s">
        <v>9</v>
      </c>
      <c r="C9" s="24" t="s">
        <v>10</v>
      </c>
      <c r="D9" s="24" t="s">
        <v>11</v>
      </c>
      <c r="E9" s="24" t="s">
        <v>12</v>
      </c>
      <c r="F9" s="25" t="s">
        <v>13</v>
      </c>
      <c r="G9" s="25" t="s">
        <v>14</v>
      </c>
      <c r="H9" s="25" t="s">
        <v>15</v>
      </c>
      <c r="I9" s="25" t="s">
        <v>16</v>
      </c>
      <c r="J9" s="25" t="s">
        <v>17</v>
      </c>
      <c r="K9" s="25" t="s">
        <v>18</v>
      </c>
      <c r="L9" s="25" t="s">
        <v>19</v>
      </c>
      <c r="M9" s="25" t="s">
        <v>20</v>
      </c>
      <c r="N9" s="25" t="s">
        <v>21</v>
      </c>
      <c r="O9" s="25" t="s">
        <v>22</v>
      </c>
      <c r="P9" s="25" t="s">
        <v>23</v>
      </c>
      <c r="Q9" s="25" t="s">
        <v>24</v>
      </c>
      <c r="R9" s="25" t="s">
        <v>25</v>
      </c>
      <c r="S9" s="25" t="s">
        <v>26</v>
      </c>
      <c r="T9" s="25" t="s">
        <v>24</v>
      </c>
      <c r="U9" s="25" t="s">
        <v>27</v>
      </c>
      <c r="V9" s="24" t="s">
        <v>28</v>
      </c>
      <c r="W9" s="24" t="s">
        <v>112</v>
      </c>
    </row>
    <row r="10" spans="1:23" x14ac:dyDescent="0.35">
      <c r="A10" s="10">
        <v>1</v>
      </c>
      <c r="B10" s="23">
        <v>46168</v>
      </c>
      <c r="C10" s="15" t="s">
        <v>42</v>
      </c>
      <c r="D10" s="13" t="s">
        <v>41</v>
      </c>
      <c r="E10" s="13">
        <v>2</v>
      </c>
      <c r="F10" s="28" t="str">
        <f>HYPERLINK("https://leetcode.com/problems/contains-duplicate/","Array contain duplicates")</f>
        <v>Array contain duplicates</v>
      </c>
      <c r="G10" s="13" t="s">
        <v>32</v>
      </c>
      <c r="H10" s="13" t="s">
        <v>106</v>
      </c>
      <c r="I10" s="28" t="str">
        <f>HYPERLINK("https://leetcode.com/problems/two-sum/","Two Sum")</f>
        <v>Two Sum</v>
      </c>
      <c r="J10" s="13" t="s">
        <v>32</v>
      </c>
      <c r="K10" s="13" t="s">
        <v>106</v>
      </c>
      <c r="L10" s="28" t="str">
        <f>HYPERLINK("https://leetcode.com/problems/missing-number/","Missing Number[0,n]")</f>
        <v>Missing Number[0,n]</v>
      </c>
      <c r="M10" s="13" t="s">
        <v>32</v>
      </c>
      <c r="N10" s="13" t="s">
        <v>106</v>
      </c>
      <c r="O10" s="28" t="str">
        <f>HYPERLINK("https://leetcode.com/problems/find-all-numbers-disappeared-in-an-array/","Disapperaed Numbers[1,n]")</f>
        <v>Disapperaed Numbers[1,n]</v>
      </c>
      <c r="P10" s="13" t="s">
        <v>32</v>
      </c>
      <c r="Q10" s="13" t="s">
        <v>106</v>
      </c>
      <c r="R10" s="28" t="str">
        <f>HYPERLINK("https://leetcode.com/problems/majority-element/","Majority Element")</f>
        <v>Majority Element</v>
      </c>
      <c r="S10" s="13" t="s">
        <v>32</v>
      </c>
      <c r="T10" s="13" t="s">
        <v>106</v>
      </c>
      <c r="U10" s="13">
        <v>3</v>
      </c>
      <c r="V10" s="13" t="s">
        <v>107</v>
      </c>
      <c r="W10" s="37" t="s">
        <v>113</v>
      </c>
    </row>
    <row r="11" spans="1:23" x14ac:dyDescent="0.35">
      <c r="A11" s="10">
        <v>2</v>
      </c>
      <c r="B11" s="23">
        <v>46169</v>
      </c>
      <c r="C11" s="15" t="s">
        <v>43</v>
      </c>
      <c r="D11" s="14" t="s">
        <v>104</v>
      </c>
      <c r="E11" s="14">
        <v>3</v>
      </c>
      <c r="F11" s="34" t="str">
        <f>HYPERLINK("https://leetcode.com/problems/move-zeroes/","Move Zeroes")</f>
        <v>Move Zeroes</v>
      </c>
      <c r="G11" s="14" t="s">
        <v>32</v>
      </c>
      <c r="H11" s="14" t="s">
        <v>106</v>
      </c>
      <c r="I11" s="34" t="str">
        <f>HYPERLINK("https://leetcode.com/problems/squares-of-a-sorted-array/","Squares of a Sorted Array")</f>
        <v>Squares of a Sorted Array</v>
      </c>
      <c r="J11" s="14" t="s">
        <v>32</v>
      </c>
      <c r="K11" s="14" t="s">
        <v>106</v>
      </c>
      <c r="L11" s="34" t="str">
        <f>HYPERLINK("https://leetcode.com/problems/backspace-string-compare/","Backspace String Compare")</f>
        <v>Backspace String Compare</v>
      </c>
      <c r="M11" s="14" t="s">
        <v>32</v>
      </c>
      <c r="N11" s="14" t="s">
        <v>106</v>
      </c>
      <c r="O11" s="34" t="str">
        <f>HYPERLINK("https://leetcode.com/problems/sort-colors/","Sort Colors")</f>
        <v>Sort Colors</v>
      </c>
      <c r="P11" s="14" t="s">
        <v>32</v>
      </c>
      <c r="Q11" s="14" t="s">
        <v>105</v>
      </c>
      <c r="R11" s="34" t="str">
        <f>HYPERLINK("https://leetcode.com/problems/3sum/","3Sum")</f>
        <v>3Sum</v>
      </c>
      <c r="S11" s="14" t="s">
        <v>33</v>
      </c>
      <c r="T11" s="14" t="s">
        <v>105</v>
      </c>
      <c r="U11" s="14">
        <v>2</v>
      </c>
      <c r="V11" s="13" t="s">
        <v>107</v>
      </c>
      <c r="W11" s="17"/>
    </row>
    <row r="12" spans="1:23" x14ac:dyDescent="0.35">
      <c r="A12" s="10">
        <v>3</v>
      </c>
      <c r="B12" s="23">
        <f>B11+1</f>
        <v>46170</v>
      </c>
      <c r="C12" s="15" t="s">
        <v>44</v>
      </c>
      <c r="D12" s="13" t="s">
        <v>104</v>
      </c>
      <c r="E12" s="13">
        <v>3</v>
      </c>
      <c r="F12" s="28" t="str">
        <f>HYPERLINK("https://leetcode.com/problems/maximum-average-subarray-i/","Maximum Average Subarray I")</f>
        <v>Maximum Average Subarray I</v>
      </c>
      <c r="G12" s="13" t="s">
        <v>33</v>
      </c>
      <c r="H12" s="13" t="s">
        <v>106</v>
      </c>
      <c r="I12" s="28" t="str">
        <f>HYPERLINK("https://leetcode.com/problems/contains-duplicate-ii/","Contains Duplicate II")</f>
        <v>Contains Duplicate II</v>
      </c>
      <c r="J12" s="13" t="s">
        <v>32</v>
      </c>
      <c r="K12" s="13" t="s">
        <v>106</v>
      </c>
      <c r="L12" s="28" t="str">
        <f>HYPERLINK("https://leetcode.com/problems/best-time-to-buy-and-sell-stock/","Best Time to Buy and Sell Stock")</f>
        <v>Best Time to Buy and Sell Stock</v>
      </c>
      <c r="M12" s="13" t="s">
        <v>32</v>
      </c>
      <c r="N12" s="13" t="s">
        <v>106</v>
      </c>
      <c r="O12" s="28" t="str">
        <f>HYPERLINK("https://leetcode.com/problems/find-pivot-index/","Find Pivot Index")</f>
        <v>Find Pivot Index</v>
      </c>
      <c r="P12" s="13" t="s">
        <v>32</v>
      </c>
      <c r="Q12" s="13" t="s">
        <v>106</v>
      </c>
      <c r="R12" s="28" t="str">
        <f>HYPERLINK("https://leetcode.com/problems/longest-substring-without-repeating-characters/","Longest Substring Without Repeating Characters")</f>
        <v>Longest Substring Without Repeating Characters</v>
      </c>
      <c r="S12" s="13" t="s">
        <v>32</v>
      </c>
      <c r="T12" s="13" t="s">
        <v>105</v>
      </c>
      <c r="U12" s="13">
        <v>2</v>
      </c>
      <c r="V12" s="13" t="s">
        <v>107</v>
      </c>
      <c r="W12" s="16"/>
    </row>
    <row r="13" spans="1:23" x14ac:dyDescent="0.35">
      <c r="A13" s="10">
        <v>4</v>
      </c>
      <c r="B13" s="23"/>
      <c r="C13" s="15" t="s">
        <v>45</v>
      </c>
    </row>
    <row r="14" spans="1:23" x14ac:dyDescent="0.35">
      <c r="A14" s="10">
        <v>5</v>
      </c>
      <c r="B14" s="23">
        <f>B12+1</f>
        <v>46171</v>
      </c>
      <c r="C14" s="15" t="s">
        <v>46</v>
      </c>
      <c r="D14" s="13" t="s">
        <v>41</v>
      </c>
      <c r="E14" s="13">
        <v>2</v>
      </c>
      <c r="F14" s="29" t="str">
        <f>HYPERLINK("https://leetcode.com/problems/valid-palindrome/","Valid Palindrome")</f>
        <v>Valid Palindrome</v>
      </c>
      <c r="G14" s="30" t="s">
        <v>32</v>
      </c>
      <c r="H14" s="30" t="s">
        <v>106</v>
      </c>
      <c r="I14" s="29" t="str">
        <f>HYPERLINK("https://leetcode.com/problems/reverse-string/","Reverse String")</f>
        <v>Reverse String</v>
      </c>
      <c r="J14" s="30" t="s">
        <v>32</v>
      </c>
      <c r="K14" s="30" t="s">
        <v>106</v>
      </c>
      <c r="L14" s="29" t="str">
        <f>HYPERLINK("https://leetcode.com/problems/length-of-last-word/","Length of Last Word")</f>
        <v>Length of Last Word</v>
      </c>
      <c r="M14" s="30" t="s">
        <v>32</v>
      </c>
      <c r="N14" s="30" t="s">
        <v>106</v>
      </c>
      <c r="O14" s="31" t="str">
        <f>HYPERLINK("https://leetcode.com/problems/reverse-words-in-a-string/","Reverse Words in a String")</f>
        <v>Reverse Words in a String</v>
      </c>
      <c r="P14" s="30" t="s">
        <v>32</v>
      </c>
      <c r="Q14" s="30" t="s">
        <v>105</v>
      </c>
      <c r="R14" s="31" t="str">
        <f>HYPERLINK("https://leetcode.com/problems/shortest-palindrome/","Shortest Palindrome")</f>
        <v>Shortest Palindrome</v>
      </c>
      <c r="S14" s="30" t="s">
        <v>33</v>
      </c>
      <c r="T14" s="30" t="s">
        <v>108</v>
      </c>
      <c r="U14" s="13">
        <v>4</v>
      </c>
      <c r="V14" s="13" t="s">
        <v>107</v>
      </c>
      <c r="W14" s="16"/>
    </row>
    <row r="15" spans="1:23" x14ac:dyDescent="0.35">
      <c r="A15" s="10">
        <v>6</v>
      </c>
      <c r="B15" s="23">
        <f>B14+1</f>
        <v>46172</v>
      </c>
      <c r="C15" s="15" t="s">
        <v>47</v>
      </c>
      <c r="D15" s="14" t="s">
        <v>109</v>
      </c>
      <c r="E15" s="14">
        <v>3</v>
      </c>
      <c r="F15" s="32" t="str">
        <f>HYPERLINK("https://leetcode.com/problems/valid-anagram/","Valid Anagram")</f>
        <v>Valid Anagram</v>
      </c>
      <c r="G15" s="14" t="s">
        <v>32</v>
      </c>
      <c r="H15" s="14" t="s">
        <v>106</v>
      </c>
      <c r="I15" s="32" t="str">
        <f>HYPERLINK("https://leetcode.com/problems/valid-palindrome-ii/","Valid Palindrome II")</f>
        <v>Valid Palindrome II</v>
      </c>
      <c r="J15" s="14" t="s">
        <v>32</v>
      </c>
      <c r="K15" s="14" t="s">
        <v>106</v>
      </c>
      <c r="L15" s="32" t="str">
        <f>HYPERLINK("https://leetcode.com/problems/group-anagrams/","Group Anagrams")</f>
        <v>Group Anagrams</v>
      </c>
      <c r="M15" s="14" t="s">
        <v>32</v>
      </c>
      <c r="N15" s="14" t="s">
        <v>105</v>
      </c>
      <c r="O15" s="32" t="str">
        <f>HYPERLINK("https://leetcode.com/problems/longest-palindromic-substring/","Longest Palindromic Substring")</f>
        <v>Longest Palindromic Substring</v>
      </c>
      <c r="P15" s="14" t="s">
        <v>33</v>
      </c>
      <c r="Q15" s="14" t="s">
        <v>105</v>
      </c>
      <c r="R15" s="32" t="str">
        <f>HYPERLINK("https://leetcode.com/problems/palindrome-pairs/","Palindrome Pairs")</f>
        <v>Palindrome Pairs</v>
      </c>
      <c r="S15" s="14" t="s">
        <v>35</v>
      </c>
      <c r="T15" s="14" t="s">
        <v>108</v>
      </c>
      <c r="U15" s="14">
        <v>3</v>
      </c>
      <c r="V15" s="14" t="s">
        <v>107</v>
      </c>
      <c r="W15" s="17"/>
    </row>
    <row r="16" spans="1:23" x14ac:dyDescent="0.35">
      <c r="A16" s="10">
        <v>7</v>
      </c>
      <c r="B16" s="23"/>
      <c r="C16" s="35" t="s">
        <v>48</v>
      </c>
      <c r="D16" s="13" t="s">
        <v>110</v>
      </c>
      <c r="E16" s="13"/>
      <c r="F16" s="11"/>
      <c r="G16" s="13"/>
      <c r="H16" s="13"/>
      <c r="I16" s="11"/>
      <c r="J16" s="13"/>
      <c r="K16" s="13"/>
      <c r="L16" s="11"/>
      <c r="M16" s="13"/>
      <c r="N16" s="13"/>
      <c r="O16" s="11"/>
      <c r="P16" s="13"/>
      <c r="Q16" s="13"/>
      <c r="R16" s="11"/>
      <c r="S16" s="13"/>
      <c r="T16" s="13"/>
      <c r="U16" s="13"/>
      <c r="V16" s="13"/>
      <c r="W16" s="16"/>
    </row>
    <row r="17" spans="1:23" x14ac:dyDescent="0.35">
      <c r="A17" s="10">
        <v>8</v>
      </c>
      <c r="B17" s="23">
        <f>B15+1</f>
        <v>46173</v>
      </c>
      <c r="C17" s="15" t="s">
        <v>49</v>
      </c>
      <c r="D17" s="14" t="s">
        <v>41</v>
      </c>
      <c r="E17" s="14">
        <v>2</v>
      </c>
      <c r="F17" s="34" t="str">
        <f>HYPERLINK("https://leetcode.com/problems/ransom-note/","Ransom Note")</f>
        <v>Ransom Note</v>
      </c>
      <c r="G17" s="14" t="s">
        <v>32</v>
      </c>
      <c r="H17" s="14" t="s">
        <v>106</v>
      </c>
      <c r="I17" s="34" t="str">
        <f>HYPERLINK("https://leetcode.com/problems/find-the-difference/description/","FindDifference")</f>
        <v>FindDifference</v>
      </c>
      <c r="J17" s="14" t="s">
        <v>32</v>
      </c>
      <c r="K17" s="14" t="s">
        <v>106</v>
      </c>
      <c r="L17" s="34" t="str">
        <f>HYPERLINK("https://leetcode.com/problems/first-unique-character-in-a-string/","First Unique Character in a String")</f>
        <v>First Unique Character in a String</v>
      </c>
      <c r="M17" s="14" t="s">
        <v>32</v>
      </c>
      <c r="N17" s="14" t="s">
        <v>106</v>
      </c>
      <c r="O17" s="34" t="str">
        <f>HYPERLINK("https://leetcode.com/problems/word-pattern/","Word Pattern")</f>
        <v>Word Pattern</v>
      </c>
      <c r="P17" s="14" t="s">
        <v>32</v>
      </c>
      <c r="Q17" s="14" t="s">
        <v>106</v>
      </c>
      <c r="R17" s="34" t="str">
        <f>HYPERLINK("https://leetcode.com/problems/isomorphic-strings/","Isomorphic Strings")</f>
        <v>Isomorphic Strings</v>
      </c>
      <c r="S17" s="14" t="s">
        <v>32</v>
      </c>
      <c r="T17" s="14" t="s">
        <v>106</v>
      </c>
      <c r="U17" s="14">
        <v>2</v>
      </c>
      <c r="V17" s="13" t="s">
        <v>107</v>
      </c>
      <c r="W17" s="39">
        <v>2916474</v>
      </c>
    </row>
    <row r="18" spans="1:23" x14ac:dyDescent="0.35">
      <c r="A18" s="10">
        <v>9</v>
      </c>
      <c r="B18" s="23">
        <f>B17+1</f>
        <v>46174</v>
      </c>
      <c r="C18" s="15" t="s">
        <v>50</v>
      </c>
      <c r="D18" s="13" t="s">
        <v>111</v>
      </c>
      <c r="E18" s="13">
        <v>3</v>
      </c>
      <c r="F18" s="29" t="str">
        <f>HYPERLINK("https://leetcode.com/problems/is-subsequence/","is-Subsequence")</f>
        <v>is-Subsequence</v>
      </c>
      <c r="G18" s="30" t="s">
        <v>33</v>
      </c>
      <c r="H18" s="30" t="s">
        <v>106</v>
      </c>
      <c r="I18" s="29" t="str">
        <f>HYPERLINK("https://leetcode.com/problems/valid-sudoku/description/","isValidSudoku")</f>
        <v>isValidSudoku</v>
      </c>
      <c r="J18" s="30" t="s">
        <v>32</v>
      </c>
      <c r="K18" s="30" t="s">
        <v>105</v>
      </c>
      <c r="L18" s="29" t="str">
        <f>HYPERLINK("https://leetcode.com/problems/top-k-frequent-elements/","Top K Frequent Elements")</f>
        <v>Top K Frequent Elements</v>
      </c>
      <c r="M18" s="30" t="s">
        <v>32</v>
      </c>
      <c r="N18" s="30" t="s">
        <v>105</v>
      </c>
      <c r="O18" s="31" t="str">
        <f>HYPERLINK("https://leetcode.com/problems/longest-consecutive-sequence/","Longest Consecutive Sequence")</f>
        <v>Longest Consecutive Sequence</v>
      </c>
      <c r="P18" s="30" t="s">
        <v>32</v>
      </c>
      <c r="Q18" s="30" t="s">
        <v>105</v>
      </c>
      <c r="R18" s="31" t="str">
        <f>HYPERLINK("https://leetcode.com/problems/letter-combinations-of-a-phone-number/","LetterCombinationsNokia")</f>
        <v>LetterCombinationsNokia</v>
      </c>
      <c r="S18" s="30" t="s">
        <v>34</v>
      </c>
      <c r="T18" s="30" t="s">
        <v>105</v>
      </c>
      <c r="U18" s="13">
        <v>3</v>
      </c>
      <c r="V18" s="13" t="s">
        <v>107</v>
      </c>
      <c r="W18" s="40">
        <v>2688647</v>
      </c>
    </row>
    <row r="19" spans="1:23" x14ac:dyDescent="0.35">
      <c r="A19" s="10">
        <v>10</v>
      </c>
      <c r="B19" s="23"/>
      <c r="C19" s="15" t="s">
        <v>51</v>
      </c>
      <c r="D19" s="14"/>
      <c r="E19" s="14"/>
      <c r="F19" s="12"/>
      <c r="G19" s="14"/>
      <c r="H19" s="14"/>
      <c r="I19" s="12"/>
      <c r="J19" s="14"/>
      <c r="K19" s="14"/>
      <c r="L19" s="12"/>
      <c r="M19" s="14"/>
      <c r="N19" s="14"/>
      <c r="O19" s="12"/>
      <c r="P19" s="14"/>
      <c r="Q19" s="14"/>
      <c r="R19" s="12"/>
      <c r="S19" s="14"/>
      <c r="T19" s="14"/>
      <c r="U19" s="14"/>
      <c r="V19" s="14"/>
      <c r="W19" s="17"/>
    </row>
    <row r="20" spans="1:23" ht="16.5" customHeight="1" x14ac:dyDescent="0.35">
      <c r="A20" s="10">
        <v>11</v>
      </c>
      <c r="B20" s="23">
        <f>B18+1</f>
        <v>46175</v>
      </c>
      <c r="C20" s="33" t="s">
        <v>52</v>
      </c>
      <c r="D20" s="13" t="s">
        <v>41</v>
      </c>
      <c r="E20" s="13">
        <v>4</v>
      </c>
      <c r="F20" s="31" t="str">
        <f>HYPERLINK("https://leetcode.com/problems/reverse-linked-list/","Reverse Linked List")</f>
        <v>Reverse Linked List</v>
      </c>
      <c r="G20" s="13" t="s">
        <v>32</v>
      </c>
      <c r="H20" s="13" t="s">
        <v>106</v>
      </c>
      <c r="I20" s="31" t="str">
        <f>HYPERLINK("https://leetcode.com/problems/linked-list-cycle/","Linked List Cycle")</f>
        <v>Linked List Cycle</v>
      </c>
      <c r="J20" s="13" t="s">
        <v>32</v>
      </c>
      <c r="K20" s="13" t="s">
        <v>106</v>
      </c>
      <c r="L20" s="31" t="str">
        <f>HYPERLINK("https://leetcode.com/problems/middle-of-the-linked-list/","Middle of the Linked List")</f>
        <v>Middle of the Linked List</v>
      </c>
      <c r="M20" s="13" t="s">
        <v>32</v>
      </c>
      <c r="N20" s="13" t="s">
        <v>106</v>
      </c>
      <c r="O20" s="31" t="str">
        <f>HYPERLINK("https://leetcode.com/problems/intersection-of-two-linked-lists/","Intersection of Two Linked Lists")</f>
        <v>Intersection of Two Linked Lists</v>
      </c>
      <c r="P20" s="13" t="s">
        <v>32</v>
      </c>
      <c r="Q20" s="13" t="s">
        <v>106</v>
      </c>
      <c r="R20" s="31" t="str">
        <f>HYPERLINK("https://leetcode.com/problems/linked-list-cycle-ii/","Linked List Cycle II")</f>
        <v>Linked List Cycle II</v>
      </c>
      <c r="S20" s="13" t="s">
        <v>32</v>
      </c>
      <c r="T20" s="13" t="s">
        <v>105</v>
      </c>
      <c r="U20" s="13">
        <v>2</v>
      </c>
      <c r="V20" s="13" t="s">
        <v>107</v>
      </c>
      <c r="W20" s="36">
        <v>2518417</v>
      </c>
    </row>
    <row r="21" spans="1:23" x14ac:dyDescent="0.35">
      <c r="A21" s="10">
        <v>12</v>
      </c>
      <c r="B21" s="23">
        <f>B20+1</f>
        <v>46176</v>
      </c>
      <c r="C21" s="15" t="s">
        <v>53</v>
      </c>
      <c r="D21" s="14" t="s">
        <v>114</v>
      </c>
      <c r="E21" s="14">
        <v>3</v>
      </c>
      <c r="F21" s="32" t="str">
        <f>HYPERLINK("https://leetcode.com/problems/merge-two-sorted-lists/","Merge Two Sorted Lists")</f>
        <v>Merge Two Sorted Lists</v>
      </c>
      <c r="G21" s="14" t="s">
        <v>32</v>
      </c>
      <c r="H21" s="14" t="s">
        <v>106</v>
      </c>
      <c r="I21" s="32" t="str">
        <f>HYPERLINK("https://leetcode.com/problems/remove-linked-list-elements/","Remove Linked List Elements")</f>
        <v>Remove Linked List Elements</v>
      </c>
      <c r="J21" s="14" t="s">
        <v>32</v>
      </c>
      <c r="K21" s="14" t="s">
        <v>106</v>
      </c>
      <c r="L21" s="32" t="str">
        <f>HYPERLINK("https://leetcode.com/problems/remove-duplicates-from-sorted-list/","Remove Duplicates from Sorted List")</f>
        <v>Remove Duplicates from Sorted List</v>
      </c>
      <c r="M21" s="14" t="s">
        <v>32</v>
      </c>
      <c r="N21" s="14" t="s">
        <v>106</v>
      </c>
      <c r="O21" s="32" t="str">
        <f>HYPERLINK("https://leetcode.com/problems/sort-list/","Sort List")</f>
        <v>Sort List</v>
      </c>
      <c r="P21" s="14" t="s">
        <v>32</v>
      </c>
      <c r="Q21" s="14" t="s">
        <v>105</v>
      </c>
      <c r="R21" s="32" t="str">
        <f>HYPERLINK("https://leetcode.com/problems/palindrome-linked-list/","Palindrome Linked List")</f>
        <v>Palindrome Linked List</v>
      </c>
      <c r="S21" s="14" t="s">
        <v>32</v>
      </c>
      <c r="T21" s="14" t="s">
        <v>106</v>
      </c>
      <c r="U21" s="14">
        <v>3</v>
      </c>
      <c r="V21" s="14" t="s">
        <v>107</v>
      </c>
      <c r="W21" s="41">
        <v>2308118</v>
      </c>
    </row>
    <row r="22" spans="1:23" x14ac:dyDescent="0.35">
      <c r="A22" s="10">
        <v>13</v>
      </c>
      <c r="B22" s="23">
        <f>B21+1</f>
        <v>46177</v>
      </c>
      <c r="C22" s="15" t="s">
        <v>54</v>
      </c>
      <c r="D22" s="13" t="s">
        <v>114</v>
      </c>
      <c r="E22" s="13">
        <v>2</v>
      </c>
      <c r="F22" s="31" t="s">
        <v>116</v>
      </c>
      <c r="G22" s="13" t="s">
        <v>32</v>
      </c>
      <c r="H22" s="13" t="s">
        <v>106</v>
      </c>
      <c r="I22" s="31" t="s">
        <v>117</v>
      </c>
      <c r="J22" s="13" t="s">
        <v>32</v>
      </c>
      <c r="K22" s="13" t="s">
        <v>106</v>
      </c>
      <c r="L22" s="31" t="s">
        <v>118</v>
      </c>
      <c r="M22" s="13" t="s">
        <v>35</v>
      </c>
      <c r="N22" s="13" t="s">
        <v>106</v>
      </c>
      <c r="O22" s="31" t="s">
        <v>119</v>
      </c>
      <c r="P22" s="13" t="s">
        <v>35</v>
      </c>
      <c r="Q22" s="13" t="s">
        <v>106</v>
      </c>
      <c r="R22" s="31" t="s">
        <v>115</v>
      </c>
      <c r="S22" s="13" t="s">
        <v>35</v>
      </c>
      <c r="T22" s="13" t="s">
        <v>105</v>
      </c>
      <c r="U22" s="13">
        <v>1</v>
      </c>
      <c r="V22" s="13"/>
      <c r="W22" s="36">
        <v>2232799</v>
      </c>
    </row>
    <row r="23" spans="1:23" x14ac:dyDescent="0.35">
      <c r="A23" s="10">
        <v>14</v>
      </c>
      <c r="B23" s="23"/>
      <c r="C23" s="15" t="s">
        <v>55</v>
      </c>
      <c r="D23" s="14" t="s">
        <v>41</v>
      </c>
      <c r="E23" s="14"/>
      <c r="F23" s="32" t="s">
        <v>120</v>
      </c>
      <c r="G23" s="14" t="s">
        <v>32</v>
      </c>
      <c r="H23" s="14" t="s">
        <v>106</v>
      </c>
      <c r="I23" s="32" t="s">
        <v>124</v>
      </c>
      <c r="J23" s="14" t="s">
        <v>32</v>
      </c>
      <c r="K23" s="14" t="s">
        <v>106</v>
      </c>
      <c r="L23" s="32" t="s">
        <v>121</v>
      </c>
      <c r="M23" s="14" t="s">
        <v>32</v>
      </c>
      <c r="N23" s="14" t="s">
        <v>106</v>
      </c>
      <c r="O23" s="32" t="s">
        <v>122</v>
      </c>
      <c r="P23" s="14"/>
      <c r="Q23" s="14" t="s">
        <v>106</v>
      </c>
      <c r="R23" s="32" t="s">
        <v>123</v>
      </c>
      <c r="S23" s="14"/>
      <c r="T23" s="14" t="s">
        <v>106</v>
      </c>
      <c r="U23" s="14">
        <v>2</v>
      </c>
      <c r="V23" s="14"/>
      <c r="W23" s="17"/>
    </row>
    <row r="24" spans="1:23" x14ac:dyDescent="0.35">
      <c r="A24" s="10">
        <v>15</v>
      </c>
      <c r="B24" s="23"/>
      <c r="C24" s="35" t="s">
        <v>56</v>
      </c>
      <c r="D24" s="13"/>
      <c r="E24" s="13"/>
      <c r="F24" s="11"/>
      <c r="G24" s="13"/>
      <c r="H24" s="13"/>
      <c r="I24" s="11"/>
      <c r="J24" s="13"/>
      <c r="K24" s="13"/>
      <c r="L24" s="11"/>
      <c r="M24" s="13"/>
      <c r="N24" s="13"/>
      <c r="O24" s="11"/>
      <c r="P24" s="13"/>
      <c r="Q24" s="13"/>
      <c r="R24" s="11"/>
      <c r="S24" s="13"/>
      <c r="T24" s="13"/>
      <c r="U24" s="13"/>
      <c r="V24" s="13"/>
      <c r="W24" s="16"/>
    </row>
    <row r="25" spans="1:23" x14ac:dyDescent="0.35">
      <c r="A25" s="10">
        <v>16</v>
      </c>
      <c r="B25" s="23"/>
      <c r="C25" s="35" t="s">
        <v>29</v>
      </c>
      <c r="D25" s="14" t="s">
        <v>114</v>
      </c>
      <c r="E25" s="14">
        <v>3</v>
      </c>
      <c r="F25" s="32" t="s">
        <v>125</v>
      </c>
      <c r="G25" s="14"/>
      <c r="H25" s="14" t="s">
        <v>106</v>
      </c>
      <c r="I25" s="32" t="s">
        <v>126</v>
      </c>
      <c r="J25" s="14"/>
      <c r="K25" s="14" t="s">
        <v>106</v>
      </c>
      <c r="L25" s="32" t="s">
        <v>127</v>
      </c>
      <c r="M25" s="14"/>
      <c r="N25" s="14" t="s">
        <v>106</v>
      </c>
      <c r="O25" s="32" t="s">
        <v>128</v>
      </c>
      <c r="P25" s="14"/>
      <c r="Q25" s="14" t="s">
        <v>106</v>
      </c>
      <c r="R25" s="32" t="s">
        <v>129</v>
      </c>
      <c r="S25" s="14"/>
      <c r="T25" s="14" t="s">
        <v>105</v>
      </c>
      <c r="U25" s="14"/>
      <c r="V25" s="14"/>
      <c r="W25" s="17"/>
    </row>
    <row r="26" spans="1:23" x14ac:dyDescent="0.35">
      <c r="A26" s="10">
        <v>17</v>
      </c>
      <c r="B26" s="23"/>
      <c r="C26" s="15" t="s">
        <v>57</v>
      </c>
      <c r="D26" s="13"/>
      <c r="E26" s="13"/>
      <c r="F26" s="11"/>
      <c r="G26" s="13"/>
      <c r="H26" s="13"/>
      <c r="I26" s="11"/>
      <c r="J26" s="13"/>
      <c r="K26" s="13"/>
      <c r="L26" s="11"/>
      <c r="M26" s="13"/>
      <c r="N26" s="13"/>
      <c r="O26" s="11"/>
      <c r="P26" s="13"/>
      <c r="Q26" s="13"/>
      <c r="R26" s="11"/>
      <c r="S26" s="13"/>
      <c r="T26" s="13"/>
      <c r="U26" s="13"/>
      <c r="V26" s="13"/>
      <c r="W26" s="16"/>
    </row>
    <row r="27" spans="1:23" x14ac:dyDescent="0.35">
      <c r="A27" s="10">
        <v>18</v>
      </c>
      <c r="B27" s="23"/>
      <c r="C27" s="35" t="s">
        <v>58</v>
      </c>
      <c r="D27" s="14"/>
      <c r="E27" s="14"/>
      <c r="F27" s="12"/>
      <c r="G27" s="14"/>
      <c r="H27" s="14"/>
      <c r="I27" s="12"/>
      <c r="J27" s="14"/>
      <c r="K27" s="14"/>
      <c r="L27" s="12"/>
      <c r="M27" s="14"/>
      <c r="N27" s="14"/>
      <c r="O27" s="12"/>
      <c r="P27" s="14"/>
      <c r="Q27" s="14"/>
      <c r="R27" s="12"/>
      <c r="S27" s="14"/>
      <c r="T27" s="14"/>
      <c r="U27" s="14"/>
      <c r="V27" s="14"/>
      <c r="W27" s="17"/>
    </row>
    <row r="28" spans="1:23" x14ac:dyDescent="0.35">
      <c r="A28" s="10">
        <v>19</v>
      </c>
      <c r="B28" s="23"/>
      <c r="C28" s="15" t="s">
        <v>59</v>
      </c>
      <c r="D28" s="13"/>
      <c r="E28" s="13"/>
      <c r="F28" s="11"/>
      <c r="G28" s="13"/>
      <c r="H28" s="13"/>
      <c r="I28" s="11"/>
      <c r="J28" s="13"/>
      <c r="K28" s="13"/>
      <c r="L28" s="11"/>
      <c r="M28" s="13"/>
      <c r="N28" s="13"/>
      <c r="O28" s="11"/>
      <c r="P28" s="13"/>
      <c r="Q28" s="13"/>
      <c r="R28" s="11"/>
      <c r="S28" s="13"/>
      <c r="T28" s="13"/>
      <c r="U28" s="13"/>
      <c r="V28" s="13"/>
      <c r="W28" s="16"/>
    </row>
    <row r="29" spans="1:23" x14ac:dyDescent="0.35">
      <c r="A29" s="10">
        <v>20</v>
      </c>
      <c r="B29" s="23"/>
      <c r="C29" s="15" t="s">
        <v>60</v>
      </c>
      <c r="D29" s="14"/>
      <c r="E29" s="14"/>
      <c r="F29" s="12"/>
      <c r="G29" s="14"/>
      <c r="H29" s="14"/>
      <c r="I29" s="12"/>
      <c r="J29" s="14"/>
      <c r="K29" s="14"/>
      <c r="L29" s="12"/>
      <c r="M29" s="14"/>
      <c r="N29" s="14"/>
      <c r="O29" s="12"/>
      <c r="P29" s="14"/>
      <c r="Q29" s="14"/>
      <c r="R29" s="12"/>
      <c r="S29" s="14"/>
      <c r="T29" s="14"/>
      <c r="U29" s="14"/>
      <c r="V29" s="14"/>
      <c r="W29" s="17"/>
    </row>
    <row r="30" spans="1:23" x14ac:dyDescent="0.35">
      <c r="A30" s="10">
        <v>21</v>
      </c>
      <c r="B30" s="23"/>
      <c r="C30" s="15" t="s">
        <v>61</v>
      </c>
      <c r="D30" s="13"/>
      <c r="E30" s="13"/>
      <c r="F30" s="11"/>
      <c r="G30" s="13"/>
      <c r="H30" s="13"/>
      <c r="I30" s="11"/>
      <c r="J30" s="13"/>
      <c r="K30" s="13"/>
      <c r="L30" s="11"/>
      <c r="M30" s="13"/>
      <c r="N30" s="13"/>
      <c r="O30" s="11"/>
      <c r="P30" s="13"/>
      <c r="Q30" s="13"/>
      <c r="R30" s="11"/>
      <c r="S30" s="13"/>
      <c r="T30" s="13"/>
      <c r="U30" s="13"/>
      <c r="V30" s="13"/>
      <c r="W30" s="16"/>
    </row>
    <row r="31" spans="1:23" x14ac:dyDescent="0.35">
      <c r="A31" s="10">
        <v>22</v>
      </c>
      <c r="B31" s="23"/>
      <c r="C31" s="15" t="s">
        <v>62</v>
      </c>
      <c r="D31" s="14"/>
      <c r="E31" s="14"/>
      <c r="F31" s="12"/>
      <c r="G31" s="14"/>
      <c r="H31" s="14"/>
      <c r="I31" s="12"/>
      <c r="J31" s="14"/>
      <c r="K31" s="14"/>
      <c r="L31" s="12"/>
      <c r="M31" s="14"/>
      <c r="N31" s="14"/>
      <c r="O31" s="12"/>
      <c r="P31" s="14"/>
      <c r="Q31" s="14"/>
      <c r="R31" s="12"/>
      <c r="S31" s="14"/>
      <c r="T31" s="14"/>
      <c r="U31" s="14"/>
      <c r="V31" s="14"/>
      <c r="W31" s="17"/>
    </row>
    <row r="32" spans="1:23" x14ac:dyDescent="0.35">
      <c r="A32" s="10">
        <v>23</v>
      </c>
      <c r="B32" s="23"/>
      <c r="C32" s="15" t="s">
        <v>63</v>
      </c>
      <c r="D32" s="13"/>
      <c r="E32" s="13"/>
      <c r="F32" s="11"/>
      <c r="G32" s="13"/>
      <c r="H32" s="13"/>
      <c r="I32" s="11"/>
      <c r="J32" s="13"/>
      <c r="K32" s="13"/>
      <c r="L32" s="11"/>
      <c r="M32" s="13"/>
      <c r="N32" s="13"/>
      <c r="O32" s="11"/>
      <c r="P32" s="13"/>
      <c r="Q32" s="13"/>
      <c r="R32" s="11"/>
      <c r="S32" s="13"/>
      <c r="T32" s="13"/>
      <c r="U32" s="13"/>
      <c r="V32" s="13"/>
      <c r="W32" s="16"/>
    </row>
    <row r="33" spans="1:23" x14ac:dyDescent="0.35">
      <c r="A33" s="10">
        <v>24</v>
      </c>
      <c r="B33" s="23"/>
      <c r="C33" s="35" t="s">
        <v>64</v>
      </c>
      <c r="D33" s="14"/>
      <c r="E33" s="14"/>
      <c r="F33" s="12"/>
      <c r="G33" s="14"/>
      <c r="H33" s="14"/>
      <c r="I33" s="12"/>
      <c r="J33" s="14"/>
      <c r="K33" s="14"/>
      <c r="L33" s="12"/>
      <c r="M33" s="14"/>
      <c r="N33" s="14"/>
      <c r="O33" s="12"/>
      <c r="P33" s="14"/>
      <c r="Q33" s="14"/>
      <c r="R33" s="12"/>
      <c r="S33" s="14"/>
      <c r="T33" s="14"/>
      <c r="U33" s="14"/>
      <c r="V33" s="14"/>
      <c r="W33" s="17"/>
    </row>
    <row r="34" spans="1:23" x14ac:dyDescent="0.35">
      <c r="A34" s="10">
        <v>25</v>
      </c>
      <c r="B34" s="23"/>
      <c r="C34" s="38" t="s">
        <v>65</v>
      </c>
      <c r="D34" s="13"/>
      <c r="E34" s="13"/>
      <c r="F34" s="11"/>
      <c r="G34" s="13"/>
      <c r="H34" s="13"/>
      <c r="I34" s="11"/>
      <c r="J34" s="13"/>
      <c r="K34" s="13"/>
      <c r="L34" s="11"/>
      <c r="M34" s="13"/>
      <c r="N34" s="13"/>
      <c r="O34" s="11"/>
      <c r="P34" s="13"/>
      <c r="Q34" s="13"/>
      <c r="R34" s="11"/>
      <c r="S34" s="13"/>
      <c r="T34" s="13"/>
      <c r="U34" s="13"/>
      <c r="V34" s="13"/>
      <c r="W34" s="16"/>
    </row>
    <row r="35" spans="1:23" x14ac:dyDescent="0.35">
      <c r="A35" s="10">
        <v>26</v>
      </c>
      <c r="B35" s="23"/>
      <c r="C35" s="38" t="s">
        <v>66</v>
      </c>
      <c r="D35" s="14"/>
      <c r="E35" s="14"/>
      <c r="F35" s="12"/>
      <c r="G35" s="14"/>
      <c r="H35" s="14"/>
      <c r="I35" s="12"/>
      <c r="J35" s="14"/>
      <c r="K35" s="14"/>
      <c r="L35" s="12"/>
      <c r="M35" s="14"/>
      <c r="N35" s="14"/>
      <c r="O35" s="12"/>
      <c r="P35" s="14"/>
      <c r="Q35" s="14"/>
      <c r="R35" s="12"/>
      <c r="S35" s="14"/>
      <c r="T35" s="14"/>
      <c r="U35" s="14"/>
      <c r="V35" s="14"/>
      <c r="W35" s="17"/>
    </row>
    <row r="36" spans="1:23" x14ac:dyDescent="0.35">
      <c r="A36" s="10">
        <v>27</v>
      </c>
      <c r="B36" s="23"/>
      <c r="C36" s="42" t="s">
        <v>67</v>
      </c>
      <c r="D36" s="13"/>
      <c r="E36" s="13"/>
      <c r="F36" s="11"/>
      <c r="G36" s="13"/>
      <c r="H36" s="13"/>
      <c r="I36" s="11"/>
      <c r="J36" s="13"/>
      <c r="K36" s="13"/>
      <c r="L36" s="11"/>
      <c r="M36" s="13"/>
      <c r="N36" s="13"/>
      <c r="O36" s="11"/>
      <c r="P36" s="13"/>
      <c r="Q36" s="13"/>
      <c r="R36" s="11"/>
      <c r="S36" s="13"/>
      <c r="T36" s="13"/>
      <c r="U36" s="13"/>
      <c r="V36" s="13"/>
      <c r="W36" s="16"/>
    </row>
    <row r="37" spans="1:23" x14ac:dyDescent="0.35">
      <c r="A37" s="10">
        <v>28</v>
      </c>
      <c r="B37" s="23"/>
      <c r="C37" s="42" t="s">
        <v>68</v>
      </c>
      <c r="D37" s="14"/>
      <c r="E37" s="14"/>
      <c r="F37" s="12"/>
      <c r="G37" s="14"/>
      <c r="H37" s="14"/>
      <c r="I37" s="12"/>
      <c r="J37" s="14"/>
      <c r="K37" s="14"/>
      <c r="L37" s="12"/>
      <c r="M37" s="14"/>
      <c r="N37" s="14"/>
      <c r="O37" s="12"/>
      <c r="P37" s="14"/>
      <c r="Q37" s="14"/>
      <c r="R37" s="12"/>
      <c r="S37" s="14"/>
      <c r="T37" s="14"/>
      <c r="U37" s="14"/>
      <c r="V37" s="14"/>
      <c r="W37" s="17"/>
    </row>
    <row r="38" spans="1:23" x14ac:dyDescent="0.35">
      <c r="A38" s="10">
        <v>29</v>
      </c>
      <c r="B38" s="23"/>
      <c r="C38" s="15" t="s">
        <v>69</v>
      </c>
      <c r="D38" s="13"/>
      <c r="E38" s="13"/>
      <c r="F38" s="11"/>
      <c r="G38" s="13"/>
      <c r="H38" s="13"/>
      <c r="I38" s="11"/>
      <c r="J38" s="13"/>
      <c r="K38" s="13"/>
      <c r="L38" s="11"/>
      <c r="M38" s="13"/>
      <c r="N38" s="13"/>
      <c r="O38" s="11"/>
      <c r="P38" s="13"/>
      <c r="Q38" s="13"/>
      <c r="R38" s="11"/>
      <c r="S38" s="13"/>
      <c r="T38" s="13"/>
      <c r="U38" s="13"/>
      <c r="V38" s="13"/>
      <c r="W38" s="16"/>
    </row>
    <row r="39" spans="1:23" x14ac:dyDescent="0.35">
      <c r="A39" s="10">
        <v>30</v>
      </c>
      <c r="B39" s="23"/>
      <c r="C39" s="15" t="s">
        <v>70</v>
      </c>
      <c r="D39" s="14"/>
      <c r="E39" s="14"/>
      <c r="F39" s="12"/>
      <c r="G39" s="14"/>
      <c r="H39" s="14"/>
      <c r="I39" s="12"/>
      <c r="J39" s="14"/>
      <c r="K39" s="14"/>
      <c r="L39" s="12"/>
      <c r="M39" s="14"/>
      <c r="N39" s="14"/>
      <c r="O39" s="12"/>
      <c r="P39" s="14"/>
      <c r="Q39" s="14"/>
      <c r="R39" s="12"/>
      <c r="S39" s="14"/>
      <c r="T39" s="14"/>
      <c r="U39" s="14"/>
      <c r="V39" s="14"/>
      <c r="W39" s="17"/>
    </row>
    <row r="40" spans="1:23" x14ac:dyDescent="0.35">
      <c r="A40" s="10">
        <v>31</v>
      </c>
      <c r="B40" s="23"/>
      <c r="C40" s="35" t="s">
        <v>72</v>
      </c>
      <c r="D40" s="13"/>
      <c r="E40" s="13"/>
      <c r="F40" s="11"/>
      <c r="G40" s="13"/>
      <c r="H40" s="13"/>
      <c r="I40" s="11"/>
      <c r="J40" s="13"/>
      <c r="K40" s="13"/>
      <c r="L40" s="11"/>
      <c r="M40" s="13"/>
      <c r="N40" s="13"/>
      <c r="O40" s="11"/>
      <c r="P40" s="13"/>
      <c r="Q40" s="13"/>
      <c r="R40" s="11"/>
      <c r="S40" s="13"/>
      <c r="T40" s="13"/>
      <c r="U40" s="13"/>
      <c r="V40" s="13"/>
      <c r="W40" s="16"/>
    </row>
    <row r="41" spans="1:23" x14ac:dyDescent="0.35">
      <c r="A41" s="10">
        <v>32</v>
      </c>
      <c r="B41" s="23"/>
      <c r="C41" s="35" t="s">
        <v>73</v>
      </c>
      <c r="D41" s="14"/>
      <c r="E41" s="14"/>
      <c r="F41" s="12"/>
      <c r="G41" s="14"/>
      <c r="H41" s="14"/>
      <c r="I41" s="12"/>
      <c r="J41" s="14"/>
      <c r="K41" s="14"/>
      <c r="L41" s="12"/>
      <c r="M41" s="14"/>
      <c r="N41" s="14"/>
      <c r="O41" s="12"/>
      <c r="P41" s="14"/>
      <c r="Q41" s="14"/>
      <c r="R41" s="12"/>
      <c r="S41" s="14"/>
      <c r="T41" s="14"/>
      <c r="U41" s="14"/>
      <c r="V41" s="14"/>
      <c r="W41" s="17"/>
    </row>
    <row r="42" spans="1:23" x14ac:dyDescent="0.35">
      <c r="A42" s="10">
        <v>33</v>
      </c>
      <c r="B42" s="23"/>
      <c r="C42" s="35" t="s">
        <v>74</v>
      </c>
      <c r="D42" s="13"/>
      <c r="E42" s="13"/>
      <c r="F42" s="11"/>
      <c r="G42" s="13"/>
      <c r="H42" s="13"/>
      <c r="I42" s="11"/>
      <c r="J42" s="13"/>
      <c r="K42" s="13"/>
      <c r="L42" s="11"/>
      <c r="M42" s="13"/>
      <c r="N42" s="13"/>
      <c r="O42" s="11"/>
      <c r="P42" s="13"/>
      <c r="Q42" s="13"/>
      <c r="R42" s="11"/>
      <c r="S42" s="13"/>
      <c r="T42" s="13"/>
      <c r="U42" s="13"/>
      <c r="V42" s="13"/>
      <c r="W42" s="16"/>
    </row>
    <row r="43" spans="1:23" x14ac:dyDescent="0.35">
      <c r="A43" s="10">
        <v>34</v>
      </c>
      <c r="B43" s="23"/>
      <c r="C43" s="35" t="s">
        <v>75</v>
      </c>
      <c r="D43" s="14"/>
      <c r="E43" s="14"/>
      <c r="F43" s="12"/>
      <c r="G43" s="14"/>
      <c r="H43" s="14"/>
      <c r="I43" s="12"/>
      <c r="J43" s="14"/>
      <c r="K43" s="14"/>
      <c r="L43" s="12"/>
      <c r="M43" s="14"/>
      <c r="N43" s="14"/>
      <c r="O43" s="12"/>
      <c r="P43" s="14"/>
      <c r="Q43" s="14"/>
      <c r="R43" s="12"/>
      <c r="S43" s="14"/>
      <c r="T43" s="14"/>
      <c r="U43" s="14"/>
      <c r="V43" s="14"/>
      <c r="W43" s="17"/>
    </row>
    <row r="44" spans="1:23" x14ac:dyDescent="0.35">
      <c r="A44" s="10">
        <v>35</v>
      </c>
      <c r="B44" s="23"/>
      <c r="C44" s="35" t="s">
        <v>76</v>
      </c>
      <c r="D44" s="13"/>
      <c r="E44" s="13"/>
      <c r="F44" s="11"/>
      <c r="G44" s="13"/>
      <c r="H44" s="13"/>
      <c r="I44" s="11"/>
      <c r="J44" s="13"/>
      <c r="K44" s="13"/>
      <c r="L44" s="11"/>
      <c r="M44" s="13"/>
      <c r="N44" s="13"/>
      <c r="O44" s="11"/>
      <c r="P44" s="13"/>
      <c r="Q44" s="13"/>
      <c r="R44" s="11"/>
      <c r="S44" s="13"/>
      <c r="T44" s="13"/>
      <c r="U44" s="13"/>
      <c r="V44" s="13"/>
      <c r="W44" s="16"/>
    </row>
    <row r="45" spans="1:23" x14ac:dyDescent="0.35">
      <c r="A45" s="10">
        <v>36</v>
      </c>
      <c r="B45" s="23"/>
      <c r="C45" s="35" t="s">
        <v>77</v>
      </c>
      <c r="D45" s="14"/>
      <c r="E45" s="14"/>
      <c r="F45" s="12"/>
      <c r="G45" s="14"/>
      <c r="H45" s="14"/>
      <c r="I45" s="12"/>
      <c r="J45" s="14"/>
      <c r="K45" s="14"/>
      <c r="L45" s="12"/>
      <c r="M45" s="14"/>
      <c r="N45" s="14"/>
      <c r="O45" s="12"/>
      <c r="P45" s="14"/>
      <c r="Q45" s="14"/>
      <c r="R45" s="12"/>
      <c r="S45" s="14"/>
      <c r="T45" s="14"/>
      <c r="U45" s="14"/>
      <c r="V45" s="14"/>
      <c r="W45" s="17"/>
    </row>
    <row r="46" spans="1:23" x14ac:dyDescent="0.35">
      <c r="A46" s="10">
        <v>37</v>
      </c>
      <c r="B46" s="23"/>
      <c r="C46" s="35" t="s">
        <v>78</v>
      </c>
      <c r="D46" s="13"/>
      <c r="E46" s="13"/>
      <c r="F46" s="11"/>
      <c r="G46" s="13"/>
      <c r="H46" s="13"/>
      <c r="I46" s="11"/>
      <c r="J46" s="13"/>
      <c r="K46" s="13"/>
      <c r="L46" s="11"/>
      <c r="M46" s="13"/>
      <c r="N46" s="13"/>
      <c r="O46" s="11"/>
      <c r="P46" s="13"/>
      <c r="Q46" s="13"/>
      <c r="R46" s="11"/>
      <c r="S46" s="13"/>
      <c r="T46" s="13"/>
      <c r="U46" s="13"/>
      <c r="V46" s="13"/>
      <c r="W46" s="16"/>
    </row>
    <row r="47" spans="1:23" x14ac:dyDescent="0.35">
      <c r="A47" s="10">
        <v>38</v>
      </c>
      <c r="B47" s="23"/>
      <c r="C47" s="35" t="s">
        <v>79</v>
      </c>
      <c r="D47" s="14"/>
      <c r="E47" s="14"/>
      <c r="F47" s="12"/>
      <c r="G47" s="14"/>
      <c r="H47" s="14"/>
      <c r="I47" s="12"/>
      <c r="J47" s="14"/>
      <c r="K47" s="14"/>
      <c r="L47" s="12"/>
      <c r="M47" s="14"/>
      <c r="N47" s="14"/>
      <c r="O47" s="12"/>
      <c r="P47" s="14"/>
      <c r="Q47" s="14"/>
      <c r="R47" s="12"/>
      <c r="S47" s="14"/>
      <c r="T47" s="14"/>
      <c r="U47" s="14"/>
      <c r="V47" s="14"/>
      <c r="W47" s="17"/>
    </row>
    <row r="48" spans="1:23" x14ac:dyDescent="0.35">
      <c r="A48" s="10">
        <v>39</v>
      </c>
      <c r="B48" s="23"/>
      <c r="C48" s="35" t="s">
        <v>80</v>
      </c>
      <c r="D48" s="13"/>
      <c r="E48" s="13"/>
      <c r="F48" s="11"/>
      <c r="G48" s="13"/>
      <c r="H48" s="13"/>
      <c r="I48" s="11"/>
      <c r="J48" s="13"/>
      <c r="K48" s="13"/>
      <c r="L48" s="11"/>
      <c r="M48" s="13"/>
      <c r="N48" s="13"/>
      <c r="O48" s="11"/>
      <c r="P48" s="13"/>
      <c r="Q48" s="13"/>
      <c r="R48" s="11"/>
      <c r="S48" s="13"/>
      <c r="T48" s="13"/>
      <c r="U48" s="13"/>
      <c r="V48" s="13"/>
      <c r="W48" s="16"/>
    </row>
    <row r="49" spans="1:23" x14ac:dyDescent="0.35">
      <c r="A49" s="10">
        <v>40</v>
      </c>
      <c r="B49" s="23"/>
      <c r="C49" s="35" t="s">
        <v>81</v>
      </c>
      <c r="D49" s="14"/>
      <c r="E49" s="14"/>
      <c r="F49" s="12"/>
      <c r="G49" s="14"/>
      <c r="H49" s="14"/>
      <c r="I49" s="12"/>
      <c r="J49" s="14"/>
      <c r="K49" s="14"/>
      <c r="L49" s="12"/>
      <c r="M49" s="14"/>
      <c r="N49" s="14"/>
      <c r="O49" s="12"/>
      <c r="P49" s="14"/>
      <c r="Q49" s="14"/>
      <c r="R49" s="12"/>
      <c r="S49" s="14"/>
      <c r="T49" s="14"/>
      <c r="U49" s="14"/>
      <c r="V49" s="14"/>
      <c r="W49" s="17"/>
    </row>
    <row r="50" spans="1:23" x14ac:dyDescent="0.35">
      <c r="A50" s="10">
        <v>41</v>
      </c>
      <c r="B50" s="23"/>
      <c r="C50" s="35" t="s">
        <v>82</v>
      </c>
      <c r="D50" s="13"/>
      <c r="E50" s="13"/>
      <c r="F50" s="11"/>
      <c r="G50" s="13"/>
      <c r="H50" s="13"/>
      <c r="I50" s="11"/>
      <c r="J50" s="13"/>
      <c r="K50" s="13"/>
      <c r="L50" s="11"/>
      <c r="M50" s="13"/>
      <c r="N50" s="13"/>
      <c r="O50" s="11"/>
      <c r="P50" s="13"/>
      <c r="Q50" s="13"/>
      <c r="R50" s="11"/>
      <c r="S50" s="13"/>
      <c r="T50" s="13"/>
      <c r="U50" s="13"/>
      <c r="V50" s="13"/>
      <c r="W50" s="16"/>
    </row>
    <row r="51" spans="1:23" x14ac:dyDescent="0.35">
      <c r="A51" s="10">
        <v>42</v>
      </c>
      <c r="B51" s="23"/>
      <c r="C51" s="35" t="s">
        <v>83</v>
      </c>
      <c r="D51" s="14"/>
      <c r="E51" s="14"/>
      <c r="F51" s="12"/>
      <c r="G51" s="14"/>
      <c r="H51" s="14"/>
      <c r="I51" s="12"/>
      <c r="J51" s="14"/>
      <c r="K51" s="14"/>
      <c r="L51" s="12"/>
      <c r="M51" s="14"/>
      <c r="N51" s="14"/>
      <c r="O51" s="12"/>
      <c r="P51" s="14"/>
      <c r="Q51" s="14"/>
      <c r="R51" s="12"/>
      <c r="S51" s="14"/>
      <c r="T51" s="14"/>
      <c r="U51" s="14"/>
      <c r="V51" s="14"/>
      <c r="W51" s="17"/>
    </row>
    <row r="52" spans="1:23" x14ac:dyDescent="0.35">
      <c r="A52" s="10">
        <v>43</v>
      </c>
      <c r="B52" s="23"/>
      <c r="C52" s="35" t="s">
        <v>84</v>
      </c>
      <c r="D52" s="13"/>
      <c r="E52" s="13"/>
      <c r="F52" s="11"/>
      <c r="G52" s="13"/>
      <c r="H52" s="13"/>
      <c r="I52" s="11"/>
      <c r="J52" s="13"/>
      <c r="K52" s="13"/>
      <c r="L52" s="11"/>
      <c r="M52" s="13"/>
      <c r="N52" s="13"/>
      <c r="O52" s="11"/>
      <c r="P52" s="13"/>
      <c r="Q52" s="13"/>
      <c r="R52" s="11"/>
      <c r="S52" s="13"/>
      <c r="T52" s="13"/>
      <c r="U52" s="13"/>
      <c r="V52" s="13"/>
      <c r="W52" s="16"/>
    </row>
    <row r="53" spans="1:23" x14ac:dyDescent="0.35">
      <c r="A53" s="10">
        <v>44</v>
      </c>
      <c r="B53" s="23"/>
      <c r="C53" s="35" t="s">
        <v>85</v>
      </c>
      <c r="D53" s="14"/>
      <c r="E53" s="14"/>
      <c r="F53" s="12"/>
      <c r="G53" s="14"/>
      <c r="H53" s="14"/>
      <c r="I53" s="12"/>
      <c r="J53" s="14"/>
      <c r="K53" s="14"/>
      <c r="L53" s="12"/>
      <c r="M53" s="14"/>
      <c r="N53" s="14"/>
      <c r="O53" s="12"/>
      <c r="P53" s="14"/>
      <c r="Q53" s="14"/>
      <c r="R53" s="12"/>
      <c r="S53" s="14"/>
      <c r="T53" s="14"/>
      <c r="U53" s="14"/>
      <c r="V53" s="14"/>
      <c r="W53" s="17"/>
    </row>
    <row r="54" spans="1:23" x14ac:dyDescent="0.35">
      <c r="A54" s="10">
        <v>45</v>
      </c>
      <c r="B54" s="23"/>
      <c r="C54" s="35" t="s">
        <v>86</v>
      </c>
      <c r="D54" s="13"/>
      <c r="E54" s="13"/>
      <c r="F54" s="11"/>
      <c r="G54" s="13"/>
      <c r="H54" s="13"/>
      <c r="I54" s="11"/>
      <c r="J54" s="13"/>
      <c r="K54" s="13"/>
      <c r="L54" s="11"/>
      <c r="M54" s="13"/>
      <c r="N54" s="13"/>
      <c r="O54" s="11"/>
      <c r="P54" s="13"/>
      <c r="Q54" s="13"/>
      <c r="R54" s="11"/>
      <c r="S54" s="13"/>
      <c r="T54" s="13"/>
      <c r="U54" s="13"/>
      <c r="V54" s="13"/>
      <c r="W54" s="16"/>
    </row>
    <row r="55" spans="1:23" x14ac:dyDescent="0.35">
      <c r="A55" s="10">
        <v>46</v>
      </c>
      <c r="B55" s="23"/>
      <c r="C55" s="35" t="s">
        <v>87</v>
      </c>
      <c r="D55" s="14"/>
      <c r="E55" s="14"/>
      <c r="F55" s="12"/>
      <c r="G55" s="14"/>
      <c r="H55" s="14"/>
      <c r="I55" s="12"/>
      <c r="J55" s="14"/>
      <c r="K55" s="14"/>
      <c r="L55" s="12"/>
      <c r="M55" s="14"/>
      <c r="N55" s="14"/>
      <c r="O55" s="12"/>
      <c r="P55" s="14"/>
      <c r="Q55" s="14"/>
      <c r="R55" s="12"/>
      <c r="S55" s="14"/>
      <c r="T55" s="14"/>
      <c r="U55" s="14"/>
      <c r="V55" s="14"/>
      <c r="W55" s="17"/>
    </row>
    <row r="56" spans="1:23" x14ac:dyDescent="0.35">
      <c r="A56" s="10">
        <v>47</v>
      </c>
      <c r="B56" s="23"/>
      <c r="C56" s="35" t="s">
        <v>88</v>
      </c>
      <c r="D56" s="13"/>
      <c r="E56" s="13"/>
      <c r="F56" s="11"/>
      <c r="G56" s="13"/>
      <c r="H56" s="13"/>
      <c r="I56" s="11"/>
      <c r="J56" s="13"/>
      <c r="K56" s="13"/>
      <c r="L56" s="11"/>
      <c r="M56" s="13"/>
      <c r="N56" s="13"/>
      <c r="O56" s="11"/>
      <c r="P56" s="13"/>
      <c r="Q56" s="13"/>
      <c r="R56" s="11"/>
      <c r="S56" s="13"/>
      <c r="T56" s="13"/>
      <c r="U56" s="13"/>
      <c r="V56" s="13"/>
      <c r="W56" s="16"/>
    </row>
    <row r="57" spans="1:23" x14ac:dyDescent="0.35">
      <c r="A57" s="10">
        <v>48</v>
      </c>
      <c r="B57" s="23"/>
      <c r="C57" s="35" t="s">
        <v>89</v>
      </c>
      <c r="D57" s="14"/>
      <c r="E57" s="14"/>
      <c r="F57" s="12"/>
      <c r="G57" s="14"/>
      <c r="H57" s="14"/>
      <c r="I57" s="12"/>
      <c r="J57" s="14"/>
      <c r="K57" s="14"/>
      <c r="L57" s="12"/>
      <c r="M57" s="14"/>
      <c r="N57" s="14"/>
      <c r="O57" s="12"/>
      <c r="P57" s="14"/>
      <c r="Q57" s="14"/>
      <c r="R57" s="12"/>
      <c r="S57" s="14"/>
      <c r="T57" s="14"/>
      <c r="U57" s="14"/>
      <c r="V57" s="14"/>
      <c r="W57" s="17"/>
    </row>
    <row r="58" spans="1:23" x14ac:dyDescent="0.35">
      <c r="A58" s="10">
        <v>49</v>
      </c>
      <c r="B58" s="23"/>
      <c r="C58" s="35" t="s">
        <v>90</v>
      </c>
      <c r="D58" s="13"/>
      <c r="E58" s="13"/>
      <c r="F58" s="11"/>
      <c r="G58" s="13"/>
      <c r="H58" s="13"/>
      <c r="I58" s="11"/>
      <c r="J58" s="13"/>
      <c r="K58" s="13"/>
      <c r="L58" s="11"/>
      <c r="M58" s="13"/>
      <c r="N58" s="13"/>
      <c r="O58" s="11"/>
      <c r="P58" s="13"/>
      <c r="Q58" s="13"/>
      <c r="R58" s="11"/>
      <c r="S58" s="13"/>
      <c r="T58" s="13"/>
      <c r="U58" s="13"/>
      <c r="V58" s="13"/>
      <c r="W58" s="16"/>
    </row>
    <row r="59" spans="1:23" x14ac:dyDescent="0.35">
      <c r="A59" s="10">
        <v>50</v>
      </c>
      <c r="B59" s="23"/>
      <c r="C59" s="35" t="s">
        <v>91</v>
      </c>
      <c r="D59" s="14"/>
      <c r="E59" s="14"/>
      <c r="F59" s="12"/>
      <c r="G59" s="14"/>
      <c r="H59" s="14"/>
      <c r="I59" s="12"/>
      <c r="J59" s="14"/>
      <c r="K59" s="14"/>
      <c r="L59" s="12"/>
      <c r="M59" s="14"/>
      <c r="N59" s="14"/>
      <c r="O59" s="12"/>
      <c r="P59" s="14"/>
      <c r="Q59" s="14"/>
      <c r="R59" s="12"/>
      <c r="S59" s="14"/>
      <c r="T59" s="14"/>
      <c r="U59" s="14"/>
      <c r="V59" s="14"/>
      <c r="W59" s="17"/>
    </row>
    <row r="60" spans="1:23" x14ac:dyDescent="0.35">
      <c r="A60" s="10">
        <v>51</v>
      </c>
      <c r="B60" s="23"/>
      <c r="C60" s="35" t="s">
        <v>92</v>
      </c>
      <c r="D60" s="13"/>
      <c r="E60" s="13"/>
      <c r="F60" s="11"/>
      <c r="G60" s="13"/>
      <c r="H60" s="13"/>
      <c r="I60" s="11"/>
      <c r="J60" s="13"/>
      <c r="K60" s="13"/>
      <c r="L60" s="11"/>
      <c r="M60" s="13"/>
      <c r="N60" s="13"/>
      <c r="O60" s="11"/>
      <c r="P60" s="13"/>
      <c r="Q60" s="13"/>
      <c r="R60" s="11"/>
      <c r="S60" s="13"/>
      <c r="T60" s="13"/>
      <c r="U60" s="13"/>
      <c r="V60" s="13"/>
      <c r="W60" s="16"/>
    </row>
    <row r="61" spans="1:23" x14ac:dyDescent="0.35">
      <c r="A61" s="10">
        <v>52</v>
      </c>
      <c r="B61" s="23"/>
      <c r="C61" s="35" t="s">
        <v>93</v>
      </c>
      <c r="D61" s="14"/>
      <c r="E61" s="14"/>
      <c r="F61" s="12"/>
      <c r="G61" s="14"/>
      <c r="H61" s="14"/>
      <c r="I61" s="12"/>
      <c r="J61" s="14"/>
      <c r="K61" s="14"/>
      <c r="L61" s="12"/>
      <c r="M61" s="14"/>
      <c r="N61" s="14"/>
      <c r="O61" s="12"/>
      <c r="P61" s="14"/>
      <c r="Q61" s="14"/>
      <c r="R61" s="12"/>
      <c r="S61" s="14"/>
      <c r="T61" s="14"/>
      <c r="U61" s="14"/>
      <c r="V61" s="14"/>
      <c r="W61" s="17"/>
    </row>
    <row r="62" spans="1:23" x14ac:dyDescent="0.35">
      <c r="A62" s="10">
        <v>53</v>
      </c>
      <c r="B62" s="23"/>
      <c r="C62" s="35" t="s">
        <v>94</v>
      </c>
      <c r="D62" s="13"/>
      <c r="E62" s="13"/>
      <c r="F62" s="11"/>
      <c r="G62" s="13"/>
      <c r="H62" s="13"/>
      <c r="I62" s="11"/>
      <c r="J62" s="13"/>
      <c r="K62" s="13"/>
      <c r="L62" s="11"/>
      <c r="M62" s="13"/>
      <c r="N62" s="13"/>
      <c r="O62" s="11"/>
      <c r="P62" s="13"/>
      <c r="Q62" s="13"/>
      <c r="R62" s="11"/>
      <c r="S62" s="13"/>
      <c r="T62" s="13"/>
      <c r="U62" s="13"/>
      <c r="V62" s="13"/>
      <c r="W62" s="16"/>
    </row>
    <row r="63" spans="1:23" x14ac:dyDescent="0.35">
      <c r="A63" s="10">
        <v>54</v>
      </c>
      <c r="B63" s="23"/>
      <c r="C63" s="35" t="s">
        <v>95</v>
      </c>
      <c r="D63" s="14"/>
      <c r="E63" s="14"/>
      <c r="F63" s="12"/>
      <c r="G63" s="14"/>
      <c r="H63" s="14"/>
      <c r="I63" s="12"/>
      <c r="J63" s="14"/>
      <c r="K63" s="14"/>
      <c r="L63" s="12"/>
      <c r="M63" s="14"/>
      <c r="N63" s="14"/>
      <c r="O63" s="12"/>
      <c r="P63" s="14"/>
      <c r="Q63" s="14"/>
      <c r="R63" s="12"/>
      <c r="S63" s="14"/>
      <c r="T63" s="14"/>
      <c r="U63" s="14"/>
      <c r="V63" s="14"/>
      <c r="W63" s="17"/>
    </row>
    <row r="64" spans="1:23" x14ac:dyDescent="0.35">
      <c r="A64" s="10">
        <v>55</v>
      </c>
      <c r="B64" s="23"/>
      <c r="C64" s="15" t="s">
        <v>96</v>
      </c>
      <c r="D64" s="13"/>
      <c r="E64" s="13"/>
      <c r="F64" s="11"/>
      <c r="G64" s="13"/>
      <c r="H64" s="13"/>
      <c r="I64" s="11"/>
      <c r="J64" s="13"/>
      <c r="K64" s="13"/>
      <c r="L64" s="11"/>
      <c r="M64" s="13"/>
      <c r="N64" s="13"/>
      <c r="O64" s="11"/>
      <c r="P64" s="13"/>
      <c r="Q64" s="13"/>
      <c r="R64" s="11"/>
      <c r="S64" s="13"/>
      <c r="T64" s="13"/>
      <c r="U64" s="13"/>
      <c r="V64" s="13"/>
      <c r="W64" s="16"/>
    </row>
    <row r="65" spans="1:23" x14ac:dyDescent="0.35">
      <c r="A65" s="10">
        <v>56</v>
      </c>
      <c r="B65" s="23"/>
      <c r="C65" s="15" t="s">
        <v>97</v>
      </c>
      <c r="D65" s="14"/>
      <c r="E65" s="14"/>
      <c r="F65" s="12"/>
      <c r="G65" s="14"/>
      <c r="H65" s="14"/>
      <c r="I65" s="12"/>
      <c r="J65" s="14"/>
      <c r="K65" s="14"/>
      <c r="L65" s="12"/>
      <c r="M65" s="14"/>
      <c r="N65" s="14"/>
      <c r="O65" s="12"/>
      <c r="P65" s="14"/>
      <c r="Q65" s="14"/>
      <c r="R65" s="12"/>
      <c r="S65" s="14"/>
      <c r="T65" s="14"/>
      <c r="U65" s="14"/>
      <c r="V65" s="14"/>
      <c r="W65" s="17"/>
    </row>
    <row r="66" spans="1:23" x14ac:dyDescent="0.35">
      <c r="A66" s="10">
        <v>57</v>
      </c>
      <c r="B66" s="23"/>
      <c r="C66" s="15" t="s">
        <v>98</v>
      </c>
      <c r="D66" s="13"/>
      <c r="E66" s="13"/>
      <c r="F66" s="11"/>
      <c r="G66" s="13"/>
      <c r="H66" s="13"/>
      <c r="I66" s="11"/>
      <c r="J66" s="13"/>
      <c r="K66" s="13"/>
      <c r="L66" s="11"/>
      <c r="M66" s="13"/>
      <c r="N66" s="13"/>
      <c r="O66" s="11"/>
      <c r="P66" s="13"/>
      <c r="Q66" s="13"/>
      <c r="R66" s="11"/>
      <c r="S66" s="13"/>
      <c r="T66" s="13"/>
      <c r="U66" s="13"/>
      <c r="V66" s="13"/>
      <c r="W66" s="16"/>
    </row>
    <row r="67" spans="1:23" x14ac:dyDescent="0.35">
      <c r="A67" s="10">
        <v>58</v>
      </c>
      <c r="B67" s="23"/>
      <c r="C67" s="15" t="s">
        <v>99</v>
      </c>
      <c r="D67" s="14"/>
      <c r="E67" s="14"/>
      <c r="F67" s="12"/>
      <c r="G67" s="14"/>
      <c r="H67" s="14"/>
      <c r="I67" s="12"/>
      <c r="J67" s="14"/>
      <c r="K67" s="14"/>
      <c r="L67" s="12"/>
      <c r="M67" s="14"/>
      <c r="N67" s="14"/>
      <c r="O67" s="12"/>
      <c r="P67" s="14"/>
      <c r="Q67" s="14"/>
      <c r="R67" s="12"/>
      <c r="S67" s="14"/>
      <c r="T67" s="14"/>
      <c r="U67" s="14"/>
      <c r="V67" s="14"/>
      <c r="W67" s="17"/>
    </row>
    <row r="68" spans="1:23" x14ac:dyDescent="0.35">
      <c r="A68" s="10">
        <v>59</v>
      </c>
      <c r="B68" s="23"/>
      <c r="C68" s="15" t="s">
        <v>100</v>
      </c>
      <c r="D68" s="13"/>
      <c r="E68" s="13"/>
      <c r="F68" s="11"/>
      <c r="G68" s="13"/>
      <c r="H68" s="13"/>
      <c r="I68" s="11"/>
      <c r="J68" s="13"/>
      <c r="K68" s="13"/>
      <c r="L68" s="11"/>
      <c r="M68" s="13"/>
      <c r="N68" s="13"/>
      <c r="O68" s="11"/>
      <c r="P68" s="13"/>
      <c r="Q68" s="13"/>
      <c r="R68" s="11"/>
      <c r="S68" s="13"/>
      <c r="T68" s="13"/>
      <c r="U68" s="13"/>
      <c r="V68" s="13"/>
      <c r="W68" s="16"/>
    </row>
    <row r="69" spans="1:23" x14ac:dyDescent="0.35">
      <c r="A69" s="10">
        <v>60</v>
      </c>
      <c r="B69" s="23"/>
      <c r="C69" s="15" t="s">
        <v>101</v>
      </c>
      <c r="D69" s="14"/>
      <c r="E69" s="14"/>
      <c r="F69" s="12"/>
      <c r="G69" s="14"/>
      <c r="H69" s="14"/>
      <c r="I69" s="12"/>
      <c r="J69" s="14"/>
      <c r="K69" s="14"/>
      <c r="L69" s="12"/>
      <c r="M69" s="14"/>
      <c r="N69" s="14"/>
      <c r="O69" s="12"/>
      <c r="P69" s="14"/>
      <c r="Q69" s="14"/>
      <c r="R69" s="12"/>
      <c r="S69" s="14"/>
      <c r="T69" s="14"/>
      <c r="U69" s="14"/>
      <c r="V69" s="14"/>
      <c r="W69" s="17"/>
    </row>
    <row r="71" spans="1:23" ht="16" x14ac:dyDescent="0.4">
      <c r="A71" s="3" t="s">
        <v>30</v>
      </c>
    </row>
    <row r="72" spans="1:23" x14ac:dyDescent="0.35">
      <c r="A72" t="s">
        <v>31</v>
      </c>
      <c r="B72" s="18" t="s">
        <v>32</v>
      </c>
      <c r="C72" s="19" t="s">
        <v>33</v>
      </c>
      <c r="D72" s="20" t="s">
        <v>34</v>
      </c>
      <c r="E72" s="21" t="s">
        <v>35</v>
      </c>
    </row>
    <row r="73" spans="1:23" x14ac:dyDescent="0.35">
      <c r="A73" t="s">
        <v>36</v>
      </c>
      <c r="B73" s="27" t="s">
        <v>37</v>
      </c>
    </row>
    <row r="74" spans="1:23" x14ac:dyDescent="0.35">
      <c r="A74" t="s">
        <v>38</v>
      </c>
      <c r="B74" s="27" t="s">
        <v>39</v>
      </c>
    </row>
    <row r="75" spans="1:23" x14ac:dyDescent="0.35">
      <c r="A75" t="s">
        <v>40</v>
      </c>
      <c r="B75" s="27" t="s">
        <v>103</v>
      </c>
    </row>
  </sheetData>
  <conditionalFormatting sqref="G10:G12 G14:G69">
    <cfRule type="containsText" dxfId="22" priority="1" operator="containsText" text="Solved">
      <formula>NOT(ISERROR(SEARCH("Solved",G10)))</formula>
    </cfRule>
    <cfRule type="containsText" dxfId="21" priority="2" operator="containsText" text="Partial">
      <formula>NOT(ISERROR(SEARCH("Partial",G10)))</formula>
    </cfRule>
    <cfRule type="containsText" dxfId="20" priority="3" operator="containsText" text="Stuck">
      <formula>NOT(ISERROR(SEARCH("Stuck",G10)))</formula>
    </cfRule>
    <cfRule type="containsText" dxfId="19" priority="4" operator="containsText" text="Skipped">
      <formula>NOT(ISERROR(SEARCH("Skipped",G10)))</formula>
    </cfRule>
  </conditionalFormatting>
  <conditionalFormatting sqref="J10:J12 J14:J69">
    <cfRule type="containsText" dxfId="18" priority="5" operator="containsText" text="Solved">
      <formula>NOT(ISERROR(SEARCH("Solved",J10)))</formula>
    </cfRule>
    <cfRule type="containsText" dxfId="17" priority="6" operator="containsText" text="Partial">
      <formula>NOT(ISERROR(SEARCH("Partial",J10)))</formula>
    </cfRule>
    <cfRule type="containsText" dxfId="16" priority="7" operator="containsText" text="Stuck">
      <formula>NOT(ISERROR(SEARCH("Stuck",J10)))</formula>
    </cfRule>
    <cfRule type="containsText" dxfId="15" priority="8" operator="containsText" text="Skipped">
      <formula>NOT(ISERROR(SEARCH("Skipped",J10)))</formula>
    </cfRule>
  </conditionalFormatting>
  <conditionalFormatting sqref="M10:M12 M14:M69">
    <cfRule type="containsText" dxfId="14" priority="9" operator="containsText" text="Solved">
      <formula>NOT(ISERROR(SEARCH("Solved",M10)))</formula>
    </cfRule>
    <cfRule type="containsText" dxfId="13" priority="10" operator="containsText" text="Partial">
      <formula>NOT(ISERROR(SEARCH("Partial",M10)))</formula>
    </cfRule>
    <cfRule type="containsText" dxfId="12" priority="11" operator="containsText" text="Stuck">
      <formula>NOT(ISERROR(SEARCH("Stuck",M10)))</formula>
    </cfRule>
    <cfRule type="containsText" dxfId="11" priority="12" operator="containsText" text="Skipped">
      <formula>NOT(ISERROR(SEARCH("Skipped",M10)))</formula>
    </cfRule>
  </conditionalFormatting>
  <conditionalFormatting sqref="P10:P12 P14:P69">
    <cfRule type="containsText" dxfId="10" priority="13" operator="containsText" text="Solved">
      <formula>NOT(ISERROR(SEARCH("Solved",P10)))</formula>
    </cfRule>
    <cfRule type="containsText" dxfId="9" priority="14" operator="containsText" text="Partial">
      <formula>NOT(ISERROR(SEARCH("Partial",P10)))</formula>
    </cfRule>
    <cfRule type="containsText" dxfId="8" priority="15" operator="containsText" text="Stuck">
      <formula>NOT(ISERROR(SEARCH("Stuck",P10)))</formula>
    </cfRule>
    <cfRule type="containsText" dxfId="7" priority="16" operator="containsText" text="Skipped">
      <formula>NOT(ISERROR(SEARCH("Skipped",P10)))</formula>
    </cfRule>
  </conditionalFormatting>
  <conditionalFormatting sqref="S10:S12 S14:S69">
    <cfRule type="containsText" dxfId="6" priority="17" operator="containsText" text="Solved">
      <formula>NOT(ISERROR(SEARCH("Solved",S10)))</formula>
    </cfRule>
    <cfRule type="containsText" dxfId="5" priority="18" operator="containsText" text="Partial">
      <formula>NOT(ISERROR(SEARCH("Partial",S10)))</formula>
    </cfRule>
    <cfRule type="containsText" dxfId="4" priority="19" operator="containsText" text="Stuck">
      <formula>NOT(ISERROR(SEARCH("Stuck",S10)))</formula>
    </cfRule>
    <cfRule type="containsText" dxfId="3" priority="20" operator="containsText" text="Skipped">
      <formula>NOT(ISERROR(SEARCH("Skipped",S10)))</formula>
    </cfRule>
  </conditionalFormatting>
  <conditionalFormatting sqref="V10:V12 V14:V69">
    <cfRule type="containsText" dxfId="2" priority="21" operator="containsText" text="Done">
      <formula>NOT(ISERROR(SEARCH("Done",V10)))</formula>
    </cfRule>
    <cfRule type="containsText" dxfId="1" priority="22" operator="containsText" text="In Progress">
      <formula>NOT(ISERROR(SEARCH("In Progress",V10)))</formula>
    </cfRule>
    <cfRule type="containsText" dxfId="0" priority="23" operator="containsText" text="Missed">
      <formula>NOT(ISERROR(SEARCH("Missed",V10)))</formula>
    </cfRule>
  </conditionalFormatting>
  <dataValidations count="6">
    <dataValidation type="list" allowBlank="1" showInputMessage="1" showErrorMessage="1" sqref="J14:J69 M14:M69 P14:P69 S14:S69 S10:S12 P10:P12 M10:M12 J10:J12 G10:G12 G14:G69" xr:uid="{E9D55A71-CD17-44C2-A5C0-197B57D54800}">
      <formula1>"Solved,Partial,Stuck,Skipped"</formula1>
    </dataValidation>
    <dataValidation type="list" allowBlank="1" showInputMessage="1" showErrorMessage="1" sqref="K14:K69 N14:N69 Q14:Q69 T14:T69 T10:T12 Q10:Q12 N10:N12 K10:K12 H10:H12 H14:H69" xr:uid="{CAA1AB83-869C-40C8-B4BF-ABCC46363A0C}">
      <formula1>"Easy,Medium,Hard"</formula1>
    </dataValidation>
    <dataValidation type="list" allowBlank="1" showInputMessage="1" showErrorMessage="1" sqref="D10:D11" xr:uid="{EB8389DE-9A7E-4BE0-A0CD-E46497E667CE}">
      <formula1>"2E-2M-1H,1E-3M-1H,3E-2M,2M-3H,1E-2M-2H,All Easy,All Medium,Mock"</formula1>
    </dataValidation>
    <dataValidation type="whole" allowBlank="1" showInputMessage="1" showErrorMessage="1" sqref="U10:U12 U14:U69" xr:uid="{94F8B5A5-4188-4E83-BA45-970C2B3977DA}">
      <formula1>1</formula1>
      <formula2>5</formula2>
    </dataValidation>
    <dataValidation type="list" allowBlank="1" showInputMessage="1" showErrorMessage="1" sqref="V10:V12 V14:V69" xr:uid="{3B5CC177-382D-4CF3-B586-1836A6C5F18E}">
      <formula1>"Not Started,In Progress,Done,Missed"</formula1>
    </dataValidation>
    <dataValidation type="list" allowBlank="1" showInputMessage="1" showErrorMessage="1" sqref="D12:D69" xr:uid="{1EFF83AC-E9C6-42CF-B81B-1CB7B4CCE23A}">
      <formula1>"2E-2M-1H,1E-3M-1H,3E-2M,4E-1M,2M-3H,1E-2M-2H,All Easy,All Medium,Mock"</formula1>
    </dataValidation>
  </dataValidations>
  <hyperlinks>
    <hyperlink ref="F22" r:id="rId1" xr:uid="{0BCAA563-C84F-4E8C-885E-E6612440D2C9}"/>
    <hyperlink ref="I22" r:id="rId2" xr:uid="{A97A7AEC-4D46-4367-8132-822DB0C992EA}"/>
    <hyperlink ref="L22" r:id="rId3" xr:uid="{EB8A19E1-6C17-4DDC-BAA5-9A6D5F033FDB}"/>
    <hyperlink ref="O22" r:id="rId4" xr:uid="{A61AC803-105B-4C74-9901-5C0392E05050}"/>
    <hyperlink ref="R22" r:id="rId5" xr:uid="{CC28259A-3368-425F-ACD0-C7D3AFA79CAB}"/>
    <hyperlink ref="F23" r:id="rId6" xr:uid="{1E8812AB-2BA2-4117-9817-6A7492192CBF}"/>
    <hyperlink ref="I23" r:id="rId7" xr:uid="{7BD90B18-C9EC-4AEF-89CB-3B64D31B752B}"/>
    <hyperlink ref="L23" r:id="rId8" xr:uid="{4E4A8D68-3F67-4384-9E3D-1687085D2F9C}"/>
    <hyperlink ref="O23" r:id="rId9" xr:uid="{2815FFC5-10E6-4580-AFB1-860747B0F12D}"/>
    <hyperlink ref="R23" r:id="rId10" xr:uid="{F2B784BA-1019-4562-957F-2C1E382E0662}"/>
    <hyperlink ref="F25" r:id="rId11" xr:uid="{92D972F4-2CF5-40EE-AF46-30EE73F286A6}"/>
    <hyperlink ref="I25" r:id="rId12" xr:uid="{736F86C0-5873-46F5-8BC6-7F0690E09AA5}"/>
    <hyperlink ref="L25" r:id="rId13" xr:uid="{0D989383-6FDF-47B6-80E3-2A435493AB96}"/>
    <hyperlink ref="O25" r:id="rId14" xr:uid="{4BF18446-26BD-4AD3-BF9D-F716BD1DA8E8}"/>
    <hyperlink ref="R25" r:id="rId15" xr:uid="{57DA53C5-D5C9-4EB7-9E5B-95529EAC0C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Dushyant Singh</dc:creator>
  <cp:lastModifiedBy>Dushyant Singh</cp:lastModifiedBy>
  <dcterms:created xsi:type="dcterms:W3CDTF">2026-05-26T05:32:35Z</dcterms:created>
  <dcterms:modified xsi:type="dcterms:W3CDTF">2026-06-05T12:41:42Z</dcterms:modified>
</cp:coreProperties>
</file>