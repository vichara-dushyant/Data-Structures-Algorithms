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88567E74-E88E-42C2-878F-A3CB84A4906D}" xr6:coauthVersionLast="47" xr6:coauthVersionMax="47" xr10:uidLastSave="{00000000-0000-0000-0000-000000000000}"/>
  <bookViews>
    <workbookView xWindow="22932" yWindow="-1416" windowWidth="23256" windowHeight="12456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1" i="1" l="1"/>
  <c r="B18" i="1"/>
  <c r="R21" i="1"/>
  <c r="O21" i="1"/>
  <c r="L21" i="1"/>
  <c r="F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<sst xmlns="http://schemas.openxmlformats.org/spreadsheetml/2006/main" count="210" uniqueCount="115">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</sst>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/mmm/yyyy"/>
  </numFmts>
  <fonts count="1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0" fontId="0" fillId="14" borderId="0" xfId="0" applyFill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5" borderId="1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7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zoomScale="85" zoomScaleNormal="85" workbookViewId="0">
      <selection activeCell="L10" sqref="L10"/>
    </sheetView>
  </sheetViews>
  <sheetFormatPr defaultRowHeight="14.5" x14ac:dyDescent="0.35"/>
  <cols>
    <col min="1" max="1" width="20.453125" customWidth="1"/>
    <col min="2" max="2" width="16.90625" style="22" customWidth="1"/>
    <col min="3" max="3" width="42.0898437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hidden="1" customWidth="1"/>
    <col min="9" max="9" width="21.81640625" bestFit="1" customWidth="1"/>
    <col min="10" max="10" width="8.6328125" bestFit="1" customWidth="1"/>
    <col min="11" max="11" width="9.26953125" hidden="1" customWidth="1"/>
    <col min="12" max="12" width="23.54296875" bestFit="1" customWidth="1"/>
    <col min="13" max="13" width="8.6328125" bestFit="1" customWidth="1"/>
    <col min="14" max="14" width="6.36328125" hidden="1" customWidth="1"/>
    <col min="15" max="15" width="23.36328125" bestFit="1" customWidth="1"/>
    <col min="16" max="16" width="8.81640625" bestFit="1" customWidth="1"/>
    <col min="17" max="17" width="7.6328125" hidden="1" customWidth="1"/>
    <col min="18" max="18" width="21.26953125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71</v>
      </c>
      <c r="C1" t="s">
        <v>112</v>
      </c>
    </row>
    <row r="2" spans="1:23" x14ac:dyDescent="0.35">
      <c r="A2" s="2" t="s">
        <v>102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40</v>
      </c>
      <c r="E5" s="22" t="s">
        <v>3</v>
      </c>
      <c r="F5" s="6">
        <f>D5/B5</f>
        <v>0.13333333333333333</v>
      </c>
    </row>
    <row r="6" spans="1:23" s="22" customFormat="1" x14ac:dyDescent="0.35">
      <c r="A6" s="22" t="s">
        <v>4</v>
      </c>
      <c r="B6" s="5">
        <f>COUNTIF(V10:V69,"Done")</f>
        <v>8</v>
      </c>
      <c r="C6" s="22" t="s">
        <v>5</v>
      </c>
      <c r="D6" s="7">
        <f>60-B6</f>
        <v>52</v>
      </c>
      <c r="E6" s="22" t="s">
        <v>6</v>
      </c>
      <c r="F6" s="8">
        <f>IFERROR(AVERAGE(U10:U69),0)</f>
        <v>2.625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</row>
    <row r="10" spans="1:23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8" t="s">
        <v>113</v>
      </c>
    </row>
    <row r="11" spans="1:23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</row>
    <row r="12" spans="1:23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</row>
    <row r="13" spans="1:23" x14ac:dyDescent="0.35">
      <c r="A13" s="10">
        <v>4</v>
      </c>
      <c r="B13" s="23"/>
      <c r="C13" s="15" t="s">
        <v>45</v>
      </c>
    </row>
    <row r="14" spans="1:23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</row>
    <row r="15" spans="1:23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</row>
    <row r="16" spans="1:23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s="36" customFormat="1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17">
        <v>2916474</v>
      </c>
    </row>
    <row r="18" spans="1:23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16">
        <v>2688647</v>
      </c>
    </row>
    <row r="19" spans="1:23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7">
        <v>2518417</v>
      </c>
    </row>
    <row r="21" spans="1:23" x14ac:dyDescent="0.35">
      <c r="A21" s="10">
        <v>12</v>
      </c>
      <c r="B21" s="23"/>
      <c r="C21" s="15" t="s">
        <v>53</v>
      </c>
      <c r="D21" s="14" t="s">
        <v>114</v>
      </c>
      <c r="E21" s="14"/>
      <c r="F21" s="32" t="str">
        <f>HYPERLINK("https://leetcode.com/problems/merge-two-sorted-lists/","Merge Two Sorted Lists")</f>
        <v>Merge Two Sorted Lists</v>
      </c>
      <c r="G21" s="14"/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/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/>
      <c r="N21" s="14" t="s">
        <v>106</v>
      </c>
      <c r="O21" s="32" t="str">
        <f>HYPERLINK("https://leetcode.com/problems/sort-list/","Sort List")</f>
        <v>Sort List</v>
      </c>
      <c r="P21" s="14"/>
      <c r="Q21" s="14" t="s">
        <v>105</v>
      </c>
      <c r="R21" s="32" t="str">
        <f>HYPERLINK("https://leetcode.com/problems/palindrome-linked-list/","Palindrome Linked List")</f>
        <v>Palindrome Linked List</v>
      </c>
      <c r="S21" s="14"/>
      <c r="T21" s="14" t="s">
        <v>106</v>
      </c>
      <c r="U21" s="14"/>
      <c r="V21" s="14"/>
      <c r="W21" s="17"/>
    </row>
    <row r="22" spans="1:23" x14ac:dyDescent="0.35">
      <c r="A22" s="10">
        <v>13</v>
      </c>
      <c r="B22" s="23"/>
      <c r="C22" s="15" t="s">
        <v>54</v>
      </c>
      <c r="D22" s="13"/>
      <c r="E22" s="13"/>
      <c r="F22" s="11"/>
      <c r="G22" s="13"/>
      <c r="H22" s="13"/>
      <c r="I22" s="11"/>
      <c r="J22" s="13"/>
      <c r="K22" s="13"/>
      <c r="L22" s="11"/>
      <c r="M22" s="13"/>
      <c r="N22" s="13"/>
      <c r="O22" s="11"/>
      <c r="P22" s="13"/>
      <c r="Q22" s="13"/>
      <c r="R22" s="11"/>
      <c r="S22" s="13"/>
      <c r="T22" s="13"/>
      <c r="U22" s="13"/>
      <c r="V22" s="13"/>
      <c r="W22" s="16"/>
    </row>
    <row r="23" spans="1:23" x14ac:dyDescent="0.35">
      <c r="A23" s="10">
        <v>14</v>
      </c>
      <c r="B23" s="23"/>
      <c r="C23" s="15" t="s">
        <v>55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x14ac:dyDescent="0.35">
      <c r="A25" s="10">
        <v>16</v>
      </c>
      <c r="B25" s="23"/>
      <c r="C25" s="35" t="s">
        <v>29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57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x14ac:dyDescent="0.35">
      <c r="A27" s="10">
        <v>18</v>
      </c>
      <c r="B27" s="23"/>
      <c r="C27" s="35" t="s">
        <v>58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59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39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39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30</v>
      </c>
    </row>
    <row r="72" spans="1:23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3" x14ac:dyDescent="0.35">
      <c r="A73" t="s">
        <v>36</v>
      </c>
      <c r="B73" s="27" t="s">
        <v>37</v>
      </c>
    </row>
    <row r="74" spans="1:23" x14ac:dyDescent="0.35">
      <c r="A74" t="s">
        <v>38</v>
      </c>
      <c r="B74" s="27" t="s">
        <v>39</v>
      </c>
    </row>
    <row r="75" spans="1:23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5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2 D14:D69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2026-06-02T14:10:34Z</dcterms:modified>
</cp:coreProperties>
</file>