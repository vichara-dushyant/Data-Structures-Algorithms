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B33534C5-FC50-4FE4-A307-5F4C4F28DD34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5" i="1" l="1"/>
  <c r="B26" i="1"/>
  <c r="B23" i="1"/>
  <c r="F21" i="1"/>
  <c r="I21" i="1"/>
  <c r="L21" i="1"/>
  <c r="O21" i="1"/>
  <c r="R21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B18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  <c r="B21" i="1" s="1"/>
  <c r="B2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<sst xmlns="http://schemas.openxmlformats.org/spreadsheetml/2006/main" count="266" uniqueCount="130">
  <si>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</si>
  <si>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</si>
  <si>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</si>
  <si>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</si>
  <si>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</si>
  <si>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</si>
  <si>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</si>
  <si>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</si>
  <si>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</si>
  <si>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</si>
  <si>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</si>
  <si>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</si>
  <si>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</si>
  <si>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</si>
  <si>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</si>
  <si>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</si>
  <si>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</si>
  <si>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</si>
  <si>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</si>
  <si>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</si>
  <si>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</si>
  <si>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</si>
  <si>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</si>
  <si>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</si>
  <si>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</si>
  <si>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</si>
  <si>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</si>
  <si>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</si>
  <si>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</si>
  <si>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</si>
  <si>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</si>
  <si>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</si>
  <si>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</si>
  <si>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</si>
  <si>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</si>
  <si>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</si>
  <si>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</si>
  <si>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</si>
  <si>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</si>
  <si>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</si>
  <si>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</si>
  <si>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</si>
  <si>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</si>
  <si>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</si>
  <si>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</si>
  <si>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</si>
  <si>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</si>
  <si>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</si>
  <si>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</si>
  <si>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</si>
  <si>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</si>
  <si>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</si>
  <si>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</si>
  <si>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</si>
  <si>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</si>
  <si>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</si>
  <si>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</si>
  <si>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</si>
  <si>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</si>
  <si>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</si>
  <si>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</si>
  <si>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</si>
  <si>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</si>
  <si>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</si>
  <si>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</si>
  <si>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</si>
  <si>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</si>
  <si>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</si>
  <si>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</si>
  <si>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</si>
  <si>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</si>
  <si>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</si>
  <si>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</si>
  <si>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</si>
  <si>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</si>
  <si>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</si>
  <si>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</si>
  <si>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</si>
  <si>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</si>
  <si>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</si>
  <si>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</si>
  <si>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</si>
  <si>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</si>
  <si>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</si>
  <si>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</si>
  <si>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</si>
  <si>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</si>
  <si>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</si>
  <si>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</si>
  <si>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</si>
  <si>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</si>
  <si>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</si>
  <si>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</si>
  <si>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</si>
  <si>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</si>
  <si>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</si>
  <si>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</si>
  <si>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</si>
  <si>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</si>
  <si>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</si>
  <si>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</si>
  <si>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</si>
  <si>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</si>
  <si>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</si>
  <si>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</si>
  <si>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</si>
  <si>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</si>
  <si>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</si>
  <si>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</si>
  <si>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</si>
  <si>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</si>
  <si>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</si>
  <si>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</si>
  <si>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</si>
  <si>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</si>
  <si>
    <t>Flatten a Multilevel Doubly Linked List</t>
  </si>
  <si>
    <t>Reverse a Doubly Linked List</t>
  </si>
  <si>
    <t>Delete a Node in Doubly Linked List</t>
  </si>
  <si>
    <t>Insert a Node in Doubly Linked List</t>
  </si>
  <si>
    <t>Find Pairs with Given Sum in DLL</t>
  </si>
  <si>
    <t>Valid Parentheses</t>
  </si>
  <si>
    <t>Min Stack</t>
  </si>
  <si>
    <t>Baseball Game</t>
  </si>
  <si>
    <t>Remove Outermost Parentheses</t>
  </si>
  <si>
    <t>Make The String Great</t>
  </si>
  <si>
    <t>Implement Stack using Queues</t>
  </si>
  <si>
    <t>Implement Queue using Stacks</t>
  </si>
  <si>
    <t>Number of Recent Calls</t>
  </si>
  <si>
    <t>Moving Average from Data Stream</t>
  </si>
  <si>
    <t>Sliding Window 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</si>
</sst>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0.0"/>
    <numFmt numFmtId="166" formatCode="dd/mmm/yyyy"/>
    <numFmt numFmtId="167" formatCode="_ * #,##0_ ;_ * \-#,##0_ ;_ * &quot;-&quot;??_ ;_ @_ "/>
  </numFmts>
  <fonts count="18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7" fillId="0" borderId="0" applyFont="0" applyFill="0" applyBorder="0" applyAlignment="0" applyProtection="0"/>
  </cellStyleXfs>
  <cellXfs count="43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4" borderId="1" xfId="0" applyFont="1" applyFill="1" applyBorder="1" applyAlignment="1">
      <alignment wrapText="1"/>
    </xf>
    <xf numFmtId="167" fontId="0" fillId="0" borderId="1" xfId="2" applyNumberFormat="1" applyFont="1" applyBorder="1" applyAlignment="1">
      <alignment wrapText="1"/>
    </xf>
    <xf numFmtId="167" fontId="0" fillId="8" borderId="1" xfId="2" applyNumberFormat="1" applyFont="1" applyFill="1" applyBorder="1" applyAlignment="1">
      <alignment wrapText="1"/>
    </xf>
    <xf numFmtId="3" fontId="0" fillId="0" borderId="1" xfId="0" applyNumberFormat="1" applyBorder="1" applyAlignment="1">
      <alignment wrapText="1"/>
    </xf>
    <xf numFmtId="0" fontId="3" fillId="15" borderId="1" xfId="0" applyFont="1" applyFill="1" applyBorder="1" applyAlignment="1">
      <alignment wrapText="1"/>
    </xf>
  </cellXfs>
  <cellStyles count="3">
    <cellStyle name="Comma" xfId="2" builtinId="3"/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min-stack/" TargetMode="External"/><Relationship Id="rId13" Type="http://schemas.openxmlformats.org/officeDocument/2006/relationships/hyperlink" Target="https://leetcode.com/problems/number-of-recent-calls/" TargetMode="External"/><Relationship Id="rId3" Type="http://schemas.openxmlformats.org/officeDocument/2006/relationships/hyperlink" Target="https://www.geeksforgeeks.org/doubly-linked-list/" TargetMode="External"/><Relationship Id="rId7" Type="http://schemas.openxmlformats.org/officeDocument/2006/relationships/hyperlink" Target="https://leetcode.com/problems/make-the-string-great/" TargetMode="External"/><Relationship Id="rId12" Type="http://schemas.openxmlformats.org/officeDocument/2006/relationships/hyperlink" Target="https://leetcode.com/problems/implement-queue-using-stacks/" TargetMode="External"/><Relationship Id="rId2" Type="http://schemas.openxmlformats.org/officeDocument/2006/relationships/hyperlink" Target="https://www.geeksforgeeks.org/delete-a-node-in-a-doubly-linked-list/" TargetMode="External"/><Relationship Id="rId1" Type="http://schemas.openxmlformats.org/officeDocument/2006/relationships/hyperlink" Target="https://www.geeksforgeeks.org/reverse-a-doubly-linked-list/" TargetMode="External"/><Relationship Id="rId6" Type="http://schemas.openxmlformats.org/officeDocument/2006/relationships/hyperlink" Target="https://leetcode.com/problems/valid-parentheses/" TargetMode="External"/><Relationship Id="rId11" Type="http://schemas.openxmlformats.org/officeDocument/2006/relationships/hyperlink" Target="https://leetcode.com/problems/implement-stack-using-queues/" TargetMode="External"/><Relationship Id="rId5" Type="http://schemas.openxmlformats.org/officeDocument/2006/relationships/hyperlink" Target="https://leetcode.com/problems/flatten-a-multilevel-doubly-linked-list/" TargetMode="External"/><Relationship Id="rId15" Type="http://schemas.openxmlformats.org/officeDocument/2006/relationships/hyperlink" Target="https://leetcode.com/problems/sliding-window-maximum/" TargetMode="External"/><Relationship Id="rId10" Type="http://schemas.openxmlformats.org/officeDocument/2006/relationships/hyperlink" Target="https://leetcode.com/problems/remove-outermost-parentheses/" TargetMode="External"/><Relationship Id="rId4" Type="http://schemas.openxmlformats.org/officeDocument/2006/relationships/hyperlink" Target="https://www.geeksforgeeks.org/find-pairs-given-sum-doubly-linked-list/" TargetMode="External"/><Relationship Id="rId9" Type="http://schemas.openxmlformats.org/officeDocument/2006/relationships/hyperlink" Target="https://leetcode.com/problems/baseball-game/" TargetMode="External"/><Relationship Id="rId14" Type="http://schemas.openxmlformats.org/officeDocument/2006/relationships/hyperlink" Target="https://leetcode.com/problems/moving-average-from-data-strea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W75"/>
  <sheetViews>
    <sheetView tabSelected="1" topLeftCell="A19" zoomScale="81" zoomScaleNormal="85" workbookViewId="0">
      <selection activeCell="C29" sqref="C29"/>
    </sheetView>
  </sheetViews>
  <sheetFormatPr defaultRowHeight="14.5" x14ac:dyDescent="0.35"/>
  <cols>
    <col min="1" max="1" width="20.453125" customWidth="1"/>
    <col min="2" max="2" width="16.90625" style="22" customWidth="1"/>
    <col min="3" max="3" width="44.90625" bestFit="1" customWidth="1"/>
    <col min="4" max="4" width="11.90625" bestFit="1" customWidth="1"/>
    <col min="5" max="5" width="14.6328125" bestFit="1" customWidth="1"/>
    <col min="6" max="6" width="25" bestFit="1" customWidth="1"/>
    <col min="7" max="7" width="8.6328125" bestFit="1" customWidth="1"/>
    <col min="8" max="8" width="6.36328125" hidden="1" customWidth="1"/>
    <col min="9" max="9" width="30.6328125" bestFit="1" customWidth="1"/>
    <col min="10" max="10" width="8.6328125" bestFit="1" customWidth="1"/>
    <col min="11" max="11" width="9.26953125" hidden="1" customWidth="1"/>
    <col min="12" max="12" width="31.08984375" bestFit="1" customWidth="1"/>
    <col min="13" max="13" width="8.6328125" bestFit="1" customWidth="1"/>
    <col min="14" max="14" width="6.36328125" hidden="1" customWidth="1"/>
    <col min="15" max="15" width="28" bestFit="1" customWidth="1"/>
    <col min="16" max="16" width="8.81640625" bestFit="1" customWidth="1"/>
    <col min="17" max="17" width="7.6328125" hidden="1" customWidth="1"/>
    <col min="18" max="18" width="42" bestFit="1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</cols>
  <sheetData>
    <row r="1" spans="1:23" ht="21" x14ac:dyDescent="0.5">
      <c r="A1" s="1" t="s">
        <v>71</v>
      </c>
      <c r="C1" t="s">
        <v>112</v>
      </c>
    </row>
    <row r="2" spans="1:23" x14ac:dyDescent="0.35">
      <c r="A2" s="2" t="s">
        <v>102</v>
      </c>
    </row>
    <row r="4" spans="1:23" ht="16" x14ac:dyDescent="0.4">
      <c r="A4" s="3" t="s">
        <v>0</v>
      </c>
    </row>
    <row r="5" spans="1:23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59</v>
      </c>
      <c r="E5" s="22" t="s">
        <v>3</v>
      </c>
      <c r="F5" s="6">
        <f>D5/B5</f>
        <v>0.19666666666666666</v>
      </c>
    </row>
    <row r="6" spans="1:23" s="22" customFormat="1" x14ac:dyDescent="0.35">
      <c r="A6" s="22" t="s">
        <v>4</v>
      </c>
      <c r="B6" s="5">
        <f>COUNTIF(V10:V69,"Done")</f>
        <v>12</v>
      </c>
      <c r="C6" s="22" t="s">
        <v>5</v>
      </c>
      <c r="D6" s="7">
        <f>60-B6</f>
        <v>48</v>
      </c>
      <c r="E6" s="22" t="s">
        <v>6</v>
      </c>
      <c r="F6" s="8">
        <f>IFERROR(AVERAGE(U10:U69),0)</f>
        <v>2.4166666666666665</v>
      </c>
    </row>
    <row r="8" spans="1:23" ht="17" x14ac:dyDescent="0.4">
      <c r="A8" s="9" t="s">
        <v>7</v>
      </c>
    </row>
    <row r="9" spans="1:23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</row>
    <row r="10" spans="1:23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7" t="s">
        <v>113</v>
      </c>
    </row>
    <row r="11" spans="1:23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</row>
    <row r="12" spans="1:23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</row>
    <row r="13" spans="1:23" x14ac:dyDescent="0.35">
      <c r="A13" s="10">
        <v>4</v>
      </c>
      <c r="B13" s="23"/>
      <c r="C13" s="15" t="s">
        <v>45</v>
      </c>
    </row>
    <row r="14" spans="1:23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</row>
    <row r="15" spans="1:23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</row>
    <row r="16" spans="1:23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</row>
    <row r="17" spans="1:23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39">
        <v>2916474</v>
      </c>
    </row>
    <row r="18" spans="1:23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40">
        <v>2688647</v>
      </c>
    </row>
    <row r="19" spans="1:23" x14ac:dyDescent="0.35">
      <c r="A19" s="10">
        <v>10</v>
      </c>
      <c r="B19" s="23"/>
      <c r="C19" s="15" t="s">
        <v>51</v>
      </c>
      <c r="D19" s="14"/>
      <c r="E19" s="14"/>
      <c r="F19" s="1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</row>
    <row r="20" spans="1:23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6">
        <v>2518417</v>
      </c>
    </row>
    <row r="21" spans="1:23" x14ac:dyDescent="0.35">
      <c r="A21" s="10">
        <v>12</v>
      </c>
      <c r="B21" s="23">
        <f>B20+1</f>
        <v>46176</v>
      </c>
      <c r="C21" s="15" t="s">
        <v>53</v>
      </c>
      <c r="D21" s="14" t="s">
        <v>114</v>
      </c>
      <c r="E21" s="14">
        <v>3</v>
      </c>
      <c r="F21" s="32" t="str">
        <f>HYPERLINK("https://leetcode.com/problems/merge-two-sorted-lists/","Merge Two Sorted Lists")</f>
        <v>Merge Two Sorted Lists</v>
      </c>
      <c r="G21" s="14" t="s">
        <v>32</v>
      </c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 t="s">
        <v>32</v>
      </c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 t="s">
        <v>32</v>
      </c>
      <c r="N21" s="14" t="s">
        <v>106</v>
      </c>
      <c r="O21" s="32" t="str">
        <f>HYPERLINK("https://leetcode.com/problems/sort-list/","Sort List")</f>
        <v>Sort List</v>
      </c>
      <c r="P21" s="14" t="s">
        <v>32</v>
      </c>
      <c r="Q21" s="14" t="s">
        <v>105</v>
      </c>
      <c r="R21" s="32" t="str">
        <f>HYPERLINK("https://leetcode.com/problems/palindrome-linked-list/","Palindrome Linked List")</f>
        <v>Palindrome Linked List</v>
      </c>
      <c r="S21" s="14" t="s">
        <v>32</v>
      </c>
      <c r="T21" s="14" t="s">
        <v>106</v>
      </c>
      <c r="U21" s="14">
        <v>3</v>
      </c>
      <c r="V21" s="14" t="s">
        <v>107</v>
      </c>
      <c r="W21" s="41">
        <v>2308118</v>
      </c>
    </row>
    <row r="22" spans="1:23" x14ac:dyDescent="0.35">
      <c r="A22" s="10">
        <v>13</v>
      </c>
      <c r="B22" s="23">
        <f>B21+1</f>
        <v>46177</v>
      </c>
      <c r="C22" s="15" t="s">
        <v>54</v>
      </c>
      <c r="D22" s="13" t="s">
        <v>114</v>
      </c>
      <c r="E22" s="13">
        <v>2</v>
      </c>
      <c r="F22" s="31" t="s">
        <v>116</v>
      </c>
      <c r="G22" s="13" t="s">
        <v>32</v>
      </c>
      <c r="H22" s="13" t="s">
        <v>106</v>
      </c>
      <c r="I22" s="31" t="s">
        <v>117</v>
      </c>
      <c r="J22" s="13" t="s">
        <v>32</v>
      </c>
      <c r="K22" s="13" t="s">
        <v>106</v>
      </c>
      <c r="L22" s="31" t="s">
        <v>118</v>
      </c>
      <c r="M22" s="13" t="s">
        <v>35</v>
      </c>
      <c r="N22" s="13" t="s">
        <v>106</v>
      </c>
      <c r="O22" s="31" t="s">
        <v>119</v>
      </c>
      <c r="P22" s="13" t="s">
        <v>35</v>
      </c>
      <c r="Q22" s="13" t="s">
        <v>106</v>
      </c>
      <c r="R22" s="31" t="s">
        <v>115</v>
      </c>
      <c r="S22" s="13" t="s">
        <v>35</v>
      </c>
      <c r="T22" s="13" t="s">
        <v>105</v>
      </c>
      <c r="U22" s="13">
        <v>1</v>
      </c>
      <c r="V22" s="13" t="s">
        <v>107</v>
      </c>
      <c r="W22" s="36">
        <v>2232799</v>
      </c>
    </row>
    <row r="23" spans="1:23" x14ac:dyDescent="0.35">
      <c r="A23" s="10">
        <v>14</v>
      </c>
      <c r="B23" s="23">
        <f>B22+1</f>
        <v>46178</v>
      </c>
      <c r="C23" s="15" t="s">
        <v>55</v>
      </c>
      <c r="D23" s="14" t="s">
        <v>41</v>
      </c>
      <c r="E23" s="14">
        <v>3</v>
      </c>
      <c r="F23" s="32" t="s">
        <v>120</v>
      </c>
      <c r="G23" s="14" t="s">
        <v>32</v>
      </c>
      <c r="H23" s="14" t="s">
        <v>106</v>
      </c>
      <c r="I23" s="32" t="s">
        <v>124</v>
      </c>
      <c r="J23" s="14" t="s">
        <v>32</v>
      </c>
      <c r="K23" s="14" t="s">
        <v>106</v>
      </c>
      <c r="L23" s="32" t="s">
        <v>121</v>
      </c>
      <c r="M23" s="14" t="s">
        <v>32</v>
      </c>
      <c r="N23" s="14" t="s">
        <v>106</v>
      </c>
      <c r="O23" s="32" t="s">
        <v>122</v>
      </c>
      <c r="P23" s="14" t="s">
        <v>35</v>
      </c>
      <c r="Q23" s="14" t="s">
        <v>106</v>
      </c>
      <c r="R23" s="32" t="s">
        <v>123</v>
      </c>
      <c r="S23" s="14" t="s">
        <v>35</v>
      </c>
      <c r="T23" s="14" t="s">
        <v>106</v>
      </c>
      <c r="U23" s="14">
        <v>2</v>
      </c>
      <c r="V23" s="14" t="s">
        <v>107</v>
      </c>
      <c r="W23" s="41">
        <v>2141798</v>
      </c>
    </row>
    <row r="24" spans="1:23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</row>
    <row r="25" spans="1:23" x14ac:dyDescent="0.35">
      <c r="A25" s="10">
        <v>16</v>
      </c>
      <c r="B25" s="23">
        <f>B23+2</f>
        <v>46180</v>
      </c>
      <c r="C25" s="35" t="s">
        <v>29</v>
      </c>
      <c r="D25" s="14" t="s">
        <v>114</v>
      </c>
      <c r="E25" s="14">
        <v>3</v>
      </c>
      <c r="F25" s="32" t="s">
        <v>125</v>
      </c>
      <c r="G25" s="14" t="s">
        <v>32</v>
      </c>
      <c r="H25" s="14" t="s">
        <v>106</v>
      </c>
      <c r="I25" s="32" t="s">
        <v>126</v>
      </c>
      <c r="J25" s="14"/>
      <c r="K25" s="14" t="s">
        <v>106</v>
      </c>
      <c r="L25" s="32" t="s">
        <v>127</v>
      </c>
      <c r="M25" s="14" t="s">
        <v>32</v>
      </c>
      <c r="N25" s="14" t="s">
        <v>106</v>
      </c>
      <c r="O25" s="32" t="s">
        <v>128</v>
      </c>
      <c r="P25" s="14" t="s">
        <v>35</v>
      </c>
      <c r="Q25" s="14" t="s">
        <v>106</v>
      </c>
      <c r="R25" s="32" t="s">
        <v>129</v>
      </c>
      <c r="S25" s="14" t="s">
        <v>32</v>
      </c>
      <c r="T25" s="14" t="s">
        <v>105</v>
      </c>
      <c r="U25" s="14">
        <v>2</v>
      </c>
      <c r="V25" s="14" t="s">
        <v>107</v>
      </c>
      <c r="W25" s="17"/>
    </row>
    <row r="26" spans="1:23" x14ac:dyDescent="0.35">
      <c r="A26" s="10">
        <v>17</v>
      </c>
      <c r="B26" s="23">
        <f>B25+1</f>
        <v>46181</v>
      </c>
      <c r="C26" s="15" t="s">
        <v>57</v>
      </c>
      <c r="D26" s="13"/>
      <c r="E26" s="13"/>
      <c r="F26" s="11"/>
      <c r="G26" s="13"/>
      <c r="H26" s="13"/>
      <c r="I26" s="11"/>
      <c r="J26" s="13"/>
      <c r="K26" s="13"/>
      <c r="L26" s="11"/>
      <c r="M26" s="13"/>
      <c r="N26" s="13"/>
      <c r="O26" s="11"/>
      <c r="P26" s="13"/>
      <c r="Q26" s="13"/>
      <c r="R26" s="11"/>
      <c r="S26" s="13"/>
      <c r="T26" s="13"/>
      <c r="U26" s="13"/>
      <c r="V26" s="13"/>
      <c r="W26" s="16"/>
    </row>
    <row r="27" spans="1:23" x14ac:dyDescent="0.35">
      <c r="A27" s="10">
        <v>18</v>
      </c>
      <c r="B27" s="23"/>
      <c r="C27" s="35" t="s">
        <v>58</v>
      </c>
      <c r="D27" s="14"/>
      <c r="E27" s="14"/>
      <c r="F27" s="12"/>
      <c r="G27" s="14"/>
      <c r="H27" s="14"/>
      <c r="I27" s="12"/>
      <c r="J27" s="14"/>
      <c r="K27" s="14"/>
      <c r="L27" s="12"/>
      <c r="M27" s="14"/>
      <c r="N27" s="14"/>
      <c r="O27" s="12"/>
      <c r="P27" s="14"/>
      <c r="Q27" s="14"/>
      <c r="R27" s="12"/>
      <c r="S27" s="14"/>
      <c r="T27" s="14"/>
      <c r="U27" s="14"/>
      <c r="V27" s="14"/>
      <c r="W27" s="17"/>
    </row>
    <row r="28" spans="1:23" x14ac:dyDescent="0.35">
      <c r="A28" s="10">
        <v>19</v>
      </c>
      <c r="B28" s="23"/>
      <c r="C28" s="15" t="s">
        <v>59</v>
      </c>
      <c r="D28" s="13"/>
      <c r="E28" s="13"/>
      <c r="F28" s="11"/>
      <c r="G28" s="13"/>
      <c r="H28" s="13"/>
      <c r="I28" s="11"/>
      <c r="J28" s="13"/>
      <c r="K28" s="13"/>
      <c r="L28" s="11"/>
      <c r="M28" s="13"/>
      <c r="N28" s="13"/>
      <c r="O28" s="11"/>
      <c r="P28" s="13"/>
      <c r="Q28" s="13"/>
      <c r="R28" s="11"/>
      <c r="S28" s="13"/>
      <c r="T28" s="13"/>
      <c r="U28" s="13"/>
      <c r="V28" s="13"/>
      <c r="W28" s="16"/>
    </row>
    <row r="29" spans="1:23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</row>
    <row r="30" spans="1:23" x14ac:dyDescent="0.35">
      <c r="A30" s="10">
        <v>21</v>
      </c>
      <c r="B30" s="23"/>
      <c r="C30" s="15" t="s">
        <v>61</v>
      </c>
      <c r="D30" s="13"/>
      <c r="E30" s="13"/>
      <c r="F30" s="11"/>
      <c r="G30" s="13"/>
      <c r="H30" s="13"/>
      <c r="I30" s="11"/>
      <c r="J30" s="13"/>
      <c r="K30" s="13"/>
      <c r="L30" s="11"/>
      <c r="M30" s="13"/>
      <c r="N30" s="13"/>
      <c r="O30" s="11"/>
      <c r="P30" s="13"/>
      <c r="Q30" s="13"/>
      <c r="R30" s="11"/>
      <c r="S30" s="13"/>
      <c r="T30" s="13"/>
      <c r="U30" s="13"/>
      <c r="V30" s="13"/>
      <c r="W30" s="16"/>
    </row>
    <row r="31" spans="1:23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</row>
    <row r="32" spans="1:23" x14ac:dyDescent="0.35">
      <c r="A32" s="10">
        <v>23</v>
      </c>
      <c r="B32" s="23"/>
      <c r="C32" s="15" t="s">
        <v>63</v>
      </c>
      <c r="D32" s="13"/>
      <c r="E32" s="13"/>
      <c r="F32" s="11"/>
      <c r="G32" s="13"/>
      <c r="H32" s="13"/>
      <c r="I32" s="11"/>
      <c r="J32" s="13"/>
      <c r="K32" s="13"/>
      <c r="L32" s="11"/>
      <c r="M32" s="13"/>
      <c r="N32" s="13"/>
      <c r="O32" s="11"/>
      <c r="P32" s="13"/>
      <c r="Q32" s="13"/>
      <c r="R32" s="11"/>
      <c r="S32" s="13"/>
      <c r="T32" s="13"/>
      <c r="U32" s="13"/>
      <c r="V32" s="13"/>
      <c r="W32" s="16"/>
    </row>
    <row r="33" spans="1:23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</row>
    <row r="34" spans="1:23" x14ac:dyDescent="0.35">
      <c r="A34" s="10">
        <v>25</v>
      </c>
      <c r="B34" s="23"/>
      <c r="C34" s="38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</row>
    <row r="35" spans="1:23" x14ac:dyDescent="0.35">
      <c r="A35" s="10">
        <v>26</v>
      </c>
      <c r="B35" s="23"/>
      <c r="C35" s="38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</row>
    <row r="36" spans="1:23" x14ac:dyDescent="0.35">
      <c r="A36" s="10">
        <v>27</v>
      </c>
      <c r="B36" s="23"/>
      <c r="C36" s="42" t="s">
        <v>67</v>
      </c>
      <c r="D36" s="13"/>
      <c r="E36" s="13"/>
      <c r="F36" s="11"/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</row>
    <row r="37" spans="1:23" x14ac:dyDescent="0.35">
      <c r="A37" s="10">
        <v>28</v>
      </c>
      <c r="B37" s="23"/>
      <c r="C37" s="42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</row>
    <row r="38" spans="1:23" x14ac:dyDescent="0.35">
      <c r="A38" s="10">
        <v>29</v>
      </c>
      <c r="B38" s="23"/>
      <c r="C38" s="15" t="s">
        <v>69</v>
      </c>
      <c r="D38" s="13"/>
      <c r="E38" s="13"/>
      <c r="F38" s="11"/>
      <c r="G38" s="13"/>
      <c r="H38" s="13"/>
      <c r="I38" s="11"/>
      <c r="J38" s="13"/>
      <c r="K38" s="13"/>
      <c r="L38" s="11"/>
      <c r="M38" s="13"/>
      <c r="N38" s="13"/>
      <c r="O38" s="11"/>
      <c r="P38" s="13"/>
      <c r="Q38" s="13"/>
      <c r="R38" s="11"/>
      <c r="S38" s="13"/>
      <c r="T38" s="13"/>
      <c r="U38" s="13"/>
      <c r="V38" s="13"/>
      <c r="W38" s="16"/>
    </row>
    <row r="39" spans="1:23" x14ac:dyDescent="0.35">
      <c r="A39" s="10">
        <v>30</v>
      </c>
      <c r="B39" s="23"/>
      <c r="C39" s="15" t="s">
        <v>70</v>
      </c>
      <c r="D39" s="14"/>
      <c r="E39" s="14"/>
      <c r="F39" s="12"/>
      <c r="G39" s="14"/>
      <c r="H39" s="14"/>
      <c r="I39" s="12"/>
      <c r="J39" s="14"/>
      <c r="K39" s="14"/>
      <c r="L39" s="12"/>
      <c r="M39" s="14"/>
      <c r="N39" s="14"/>
      <c r="O39" s="12"/>
      <c r="P39" s="14"/>
      <c r="Q39" s="14"/>
      <c r="R39" s="12"/>
      <c r="S39" s="14"/>
      <c r="T39" s="14"/>
      <c r="U39" s="14"/>
      <c r="V39" s="14"/>
      <c r="W39" s="17"/>
    </row>
    <row r="40" spans="1:23" x14ac:dyDescent="0.35">
      <c r="A40" s="10">
        <v>31</v>
      </c>
      <c r="B40" s="23"/>
      <c r="C40" s="35" t="s">
        <v>72</v>
      </c>
      <c r="D40" s="13"/>
      <c r="E40" s="13"/>
      <c r="F40" s="11"/>
      <c r="G40" s="13"/>
      <c r="H40" s="13"/>
      <c r="I40" s="11"/>
      <c r="J40" s="13"/>
      <c r="K40" s="13"/>
      <c r="L40" s="11"/>
      <c r="M40" s="13"/>
      <c r="N40" s="13"/>
      <c r="O40" s="11"/>
      <c r="P40" s="13"/>
      <c r="Q40" s="13"/>
      <c r="R40" s="11"/>
      <c r="S40" s="13"/>
      <c r="T40" s="13"/>
      <c r="U40" s="13"/>
      <c r="V40" s="13"/>
      <c r="W40" s="16"/>
    </row>
    <row r="41" spans="1:23" x14ac:dyDescent="0.35">
      <c r="A41" s="10">
        <v>32</v>
      </c>
      <c r="B41" s="23"/>
      <c r="C41" s="35" t="s">
        <v>73</v>
      </c>
      <c r="D41" s="14"/>
      <c r="E41" s="14"/>
      <c r="F41" s="12"/>
      <c r="G41" s="14"/>
      <c r="H41" s="14"/>
      <c r="I41" s="12"/>
      <c r="J41" s="14"/>
      <c r="K41" s="14"/>
      <c r="L41" s="12"/>
      <c r="M41" s="14"/>
      <c r="N41" s="14"/>
      <c r="O41" s="12"/>
      <c r="P41" s="14"/>
      <c r="Q41" s="14"/>
      <c r="R41" s="12"/>
      <c r="S41" s="14"/>
      <c r="T41" s="14"/>
      <c r="U41" s="14"/>
      <c r="V41" s="14"/>
      <c r="W41" s="17"/>
    </row>
    <row r="42" spans="1:23" x14ac:dyDescent="0.35">
      <c r="A42" s="10">
        <v>33</v>
      </c>
      <c r="B42" s="23"/>
      <c r="C42" s="35" t="s">
        <v>74</v>
      </c>
      <c r="D42" s="13"/>
      <c r="E42" s="13"/>
      <c r="F42" s="11"/>
      <c r="G42" s="13"/>
      <c r="H42" s="13"/>
      <c r="I42" s="11"/>
      <c r="J42" s="13"/>
      <c r="K42" s="13"/>
      <c r="L42" s="11"/>
      <c r="M42" s="13"/>
      <c r="N42" s="13"/>
      <c r="O42" s="11"/>
      <c r="P42" s="13"/>
      <c r="Q42" s="13"/>
      <c r="R42" s="11"/>
      <c r="S42" s="13"/>
      <c r="T42" s="13"/>
      <c r="U42" s="13"/>
      <c r="V42" s="13"/>
      <c r="W42" s="16"/>
    </row>
    <row r="43" spans="1:23" x14ac:dyDescent="0.35">
      <c r="A43" s="10">
        <v>34</v>
      </c>
      <c r="B43" s="23"/>
      <c r="C43" s="35" t="s">
        <v>75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</row>
    <row r="44" spans="1:23" x14ac:dyDescent="0.35">
      <c r="A44" s="10">
        <v>35</v>
      </c>
      <c r="B44" s="23"/>
      <c r="C44" s="35" t="s">
        <v>76</v>
      </c>
      <c r="D44" s="13"/>
      <c r="E44" s="13"/>
      <c r="F44" s="11"/>
      <c r="G44" s="13"/>
      <c r="H44" s="13"/>
      <c r="I44" s="11"/>
      <c r="J44" s="13"/>
      <c r="K44" s="13"/>
      <c r="L44" s="11"/>
      <c r="M44" s="13"/>
      <c r="N44" s="13"/>
      <c r="O44" s="11"/>
      <c r="P44" s="13"/>
      <c r="Q44" s="13"/>
      <c r="R44" s="11"/>
      <c r="S44" s="13"/>
      <c r="T44" s="13"/>
      <c r="U44" s="13"/>
      <c r="V44" s="13"/>
      <c r="W44" s="16"/>
    </row>
    <row r="45" spans="1:23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</row>
    <row r="46" spans="1:23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</row>
    <row r="47" spans="1:23" x14ac:dyDescent="0.35">
      <c r="A47" s="10">
        <v>38</v>
      </c>
      <c r="B47" s="23"/>
      <c r="C47" s="35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</row>
    <row r="48" spans="1:23" x14ac:dyDescent="0.35">
      <c r="A48" s="10">
        <v>39</v>
      </c>
      <c r="B48" s="23"/>
      <c r="C48" s="35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</row>
    <row r="49" spans="1:23" x14ac:dyDescent="0.35">
      <c r="A49" s="10">
        <v>40</v>
      </c>
      <c r="B49" s="23"/>
      <c r="C49" s="35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</row>
    <row r="50" spans="1:23" x14ac:dyDescent="0.35">
      <c r="A50" s="10">
        <v>41</v>
      </c>
      <c r="B50" s="23"/>
      <c r="C50" s="35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</row>
    <row r="51" spans="1:23" x14ac:dyDescent="0.35">
      <c r="A51" s="10">
        <v>42</v>
      </c>
      <c r="B51" s="23"/>
      <c r="C51" s="35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</row>
    <row r="52" spans="1:23" x14ac:dyDescent="0.35">
      <c r="A52" s="10">
        <v>43</v>
      </c>
      <c r="B52" s="23"/>
      <c r="C52" s="35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</row>
    <row r="53" spans="1:23" x14ac:dyDescent="0.35">
      <c r="A53" s="10">
        <v>44</v>
      </c>
      <c r="B53" s="23"/>
      <c r="C53" s="35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</row>
    <row r="54" spans="1:23" x14ac:dyDescent="0.35">
      <c r="A54" s="10">
        <v>45</v>
      </c>
      <c r="B54" s="23"/>
      <c r="C54" s="35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</row>
    <row r="55" spans="1:23" x14ac:dyDescent="0.35">
      <c r="A55" s="10">
        <v>46</v>
      </c>
      <c r="B55" s="23"/>
      <c r="C55" s="35" t="s">
        <v>87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</row>
    <row r="56" spans="1:23" x14ac:dyDescent="0.35">
      <c r="A56" s="10">
        <v>47</v>
      </c>
      <c r="B56" s="23"/>
      <c r="C56" s="35" t="s">
        <v>88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</row>
    <row r="57" spans="1:23" x14ac:dyDescent="0.35">
      <c r="A57" s="10">
        <v>48</v>
      </c>
      <c r="B57" s="23"/>
      <c r="C57" s="35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</row>
    <row r="58" spans="1:23" x14ac:dyDescent="0.35">
      <c r="A58" s="10">
        <v>49</v>
      </c>
      <c r="B58" s="23"/>
      <c r="C58" s="35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</row>
    <row r="59" spans="1:23" x14ac:dyDescent="0.35">
      <c r="A59" s="10">
        <v>50</v>
      </c>
      <c r="B59" s="23"/>
      <c r="C59" s="35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</row>
    <row r="60" spans="1:23" x14ac:dyDescent="0.35">
      <c r="A60" s="10">
        <v>51</v>
      </c>
      <c r="B60" s="23"/>
      <c r="C60" s="35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</row>
    <row r="61" spans="1:23" x14ac:dyDescent="0.35">
      <c r="A61" s="10">
        <v>52</v>
      </c>
      <c r="B61" s="23"/>
      <c r="C61" s="35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</row>
    <row r="62" spans="1:23" x14ac:dyDescent="0.35">
      <c r="A62" s="10">
        <v>53</v>
      </c>
      <c r="B62" s="23"/>
      <c r="C62" s="35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</row>
    <row r="63" spans="1:23" x14ac:dyDescent="0.35">
      <c r="A63" s="10">
        <v>54</v>
      </c>
      <c r="B63" s="23"/>
      <c r="C63" s="35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</row>
    <row r="64" spans="1:23" x14ac:dyDescent="0.35">
      <c r="A64" s="10">
        <v>55</v>
      </c>
      <c r="B64" s="23"/>
      <c r="C64" s="15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</row>
    <row r="65" spans="1:23" x14ac:dyDescent="0.35">
      <c r="A65" s="10">
        <v>56</v>
      </c>
      <c r="B65" s="23"/>
      <c r="C65" s="15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</row>
    <row r="66" spans="1:23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</row>
    <row r="67" spans="1:23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</row>
    <row r="68" spans="1:23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</row>
    <row r="69" spans="1:23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</row>
    <row r="71" spans="1:23" ht="16" x14ac:dyDescent="0.4">
      <c r="A71" s="3" t="s">
        <v>30</v>
      </c>
    </row>
    <row r="72" spans="1:23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3" x14ac:dyDescent="0.35">
      <c r="A73" t="s">
        <v>36</v>
      </c>
      <c r="B73" s="27" t="s">
        <v>37</v>
      </c>
    </row>
    <row r="74" spans="1:23" x14ac:dyDescent="0.35">
      <c r="A74" t="s">
        <v>38</v>
      </c>
      <c r="B74" s="27" t="s">
        <v>39</v>
      </c>
    </row>
    <row r="75" spans="1:23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6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1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  <dataValidation type="list" allowBlank="1" showInputMessage="1" showErrorMessage="1" sqref="D12:D69" xr:uid="{1EFF83AC-E9C6-42CF-B81B-1CB7B4CCE23A}">
      <formula1>"2E-2M-1H,1E-3M-1H,3E-2M,4E-1M,2M-3H,1E-2M-2H,All Easy,All Medium,Mock"</formula1>
    </dataValidation>
  </dataValidations>
  <hyperlinks>
    <hyperlink ref="F22" r:id="rId1" xr:uid="{0BCAA563-C84F-4E8C-885E-E6612440D2C9}"/>
    <hyperlink ref="I22" r:id="rId2" xr:uid="{A97A7AEC-4D46-4367-8132-822DB0C992EA}"/>
    <hyperlink ref="L22" r:id="rId3" xr:uid="{EB8A19E1-6C17-4DDC-BAA5-9A6D5F033FDB}"/>
    <hyperlink ref="O22" r:id="rId4" xr:uid="{A61AC803-105B-4C74-9901-5C0392E05050}"/>
    <hyperlink ref="R22" r:id="rId5" xr:uid="{CC28259A-3368-425F-ACD0-C7D3AFA79CAB}"/>
    <hyperlink ref="F23" r:id="rId6" xr:uid="{1E8812AB-2BA2-4117-9817-6A7492192CBF}"/>
    <hyperlink ref="I23" r:id="rId7" xr:uid="{7BD90B18-C9EC-4AEF-89CB-3B64D31B752B}"/>
    <hyperlink ref="L23" r:id="rId8" xr:uid="{4E4A8D68-3F67-4384-9E3D-1687085D2F9C}"/>
    <hyperlink ref="O23" r:id="rId9" xr:uid="{2815FFC5-10E6-4580-AFB1-860747B0F12D}"/>
    <hyperlink ref="R23" r:id="rId10" xr:uid="{F2B784BA-1019-4562-957F-2C1E382E0662}"/>
    <hyperlink ref="F25" r:id="rId11" xr:uid="{92D972F4-2CF5-40EE-AF46-30EE73F286A6}"/>
    <hyperlink ref="I25" r:id="rId12" xr:uid="{736F86C0-5873-46F5-8BC6-7F0690E09AA5}"/>
    <hyperlink ref="L25" r:id="rId13" xr:uid="{0D989383-6FDF-47B6-80E3-2A435493AB96}"/>
    <hyperlink ref="O25" r:id="rId14" xr:uid="{4BF18446-26BD-4AD3-BF9D-F716BD1DA8E8}"/>
    <hyperlink ref="R25" r:id="rId15" xr:uid="{57DA53C5-D5C9-4EB7-9E5B-95529EAC0CC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2026-06-08T06:50:00Z</dcterms:modified>
</cp:coreProperties>
</file>