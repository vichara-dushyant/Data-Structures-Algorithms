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2B7F61A0-6B4C-41CC-BCE9-EC0C5F51E8C2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6" i="1" l="1"/>
  <c r="O55" i="1"/>
  <c r="R55" i="1"/>
  <c r="L55" i="1"/>
  <c r="I55" i="1"/>
  <c r="F55" i="1"/>
  <c r="B55" i="1"/>
  <c r="B43" i="1"/>
  <c r="B42" i="1"/>
  <c r="I42" i="1"/>
  <c r="L41" i="1"/>
  <c r="B41" i="1"/>
  <c r="F40" i="1"/>
  <c r="B39" i="1"/>
  <c r="B40" i="1" s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<sst xmlns="http://schemas.openxmlformats.org/spreadsheetml/2006/main" count="466" uniqueCount="192">
  <si>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</si>
  <si>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</si>
  <si>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</si>
  <si>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</si>
  <si>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</si>
  <si>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</si>
  <si>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</si>
  <si>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</si>
  <si>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</si>
  <si>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</si>
  <si>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</si>
  <si>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</si>
  <si>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</si>
  <si>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</si>
  <si>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</si>
  <si>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</si>
  <si>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</si>
  <si>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</si>
  <si>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</si>
  <si>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</si>
  <si>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</si>
  <si>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</si>
  <si>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</si>
  <si>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</si>
  <si>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</si>
  <si>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</si>
  <si>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</si>
  <si>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</si>
  <si>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</si>
  <si>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</si>
  <si>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</si>
  <si>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</si>
  <si>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</si>
  <si>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</si>
  <si>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</si>
  <si>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</si>
  <si>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</si>
  <si>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</si>
  <si>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</si>
  <si>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</si>
  <si>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</si>
  <si>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</si>
  <si>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</si>
  <si>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</si>
  <si>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</si>
  <si>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</si>
  <si>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</si>
  <si>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</si>
  <si>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</si>
  <si>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</si>
  <si>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</si>
  <si>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</si>
  <si>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</si>
  <si>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</si>
  <si>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</si>
  <si>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</si>
  <si>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</si>
  <si>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</si>
  <si>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</si>
  <si>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</si>
  <si>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</si>
  <si>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</si>
  <si>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</si>
  <si>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</si>
  <si>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</si>
  <si>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</si>
  <si>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</si>
  <si>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</si>
  <si>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</si>
  <si>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</si>
  <si>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</si>
  <si>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</si>
  <si>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</si>
  <si>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</si>
  <si>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</si>
  <si>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</si>
  <si>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</si>
  <si>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</si>
  <si>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</si>
  <si>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</si>
  <si>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</si>
  <si>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</si>
  <si>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</si>
  <si>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</si>
  <si>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</si>
  <si>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</si>
  <si>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</si>
  <si>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</si>
  <si>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</si>
  <si>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</si>
  <si>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</si>
  <si>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</si>
  <si>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</si>
  <si>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</si>
  <si>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</si>
  <si>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</si>
  <si>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</si>
  <si>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</si>
  <si>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</si>
  <si>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</si>
  <si>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</si>
  <si>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</si>
  <si>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</si>
  <si>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</si>
  <si>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</si>
  <si>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</si>
  <si>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</si>
  <si>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</si>
  <si>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</si>
  <si>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</si>
  <si>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</si>
  <si>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</si>
  <si>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</si>
  <si>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</si>
  <si>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</si>
  <si>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</si>
  <si>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</si>
  <si>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</si>
  <si>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</si>
  <si>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</si>
  <si>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</si>
  <si>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</si>
  <si>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</si>
  <si>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</si>
  <si>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</si>
  <si>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</si>
  <si>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</si>
  <si>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</si>
  <si>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</si>
  <si>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</si>
  <si>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</si>
  <si>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</si>
  <si>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</si>
  <si>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</si>
  <si>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</si>
  <si>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</si>
  <si>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</si>
  <si>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</si>
  <si>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</si>
  <si>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</si>
  <si>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</si>
  <si>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</si>
  <si>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</si>
  <si>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</si>
  <si>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</si>
  <si>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</si>
  <si>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</si>
  <si>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</si>
  <si>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</si>
  <si>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</si>
  <si>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</si>
  <si>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</si>
  <si>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</si>
  <si>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</si>
  <si>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</si>
  <si>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</si>
  <si>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</si>
  <si>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</si>
  <si>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</si>
  <si>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</si>
  <si>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</si>
  <si>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</si>
  <si>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</si>
  <si>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</si>
  <si>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</si>
  <si>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</si>
  <si>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</si>
  <si>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</si>
  <si>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</si>
  <si>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</si>
  <si>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</si>
  <si>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</si>
  <si>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</si>
  <si>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</si>
  <si>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</si>
  <si>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</si>
  <si>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Insert into a Binary Search Tree</t>
  </si>
  <si>
    <t>Delete Node in a BST</t>
  </si>
  <si>
    <t>Convert Sorted Array to BST</t>
  </si>
  <si>
    <t>Two Sum IV - Input is a BST</t>
  </si>
  <si>
    <t>Validate Binary Search Tree</t>
  </si>
  <si>
    <t>In Progress</t>
  </si>
  <si>
    <t>Kth Largest Element in a Stream</t>
  </si>
  <si>
    <t>Last Stone Weight</t>
  </si>
  <si>
    <t>Relative Ranks</t>
  </si>
  <si>
    <t>Take Gifts From the Richest Pile</t>
  </si>
  <si>
    <t>Find Subsequence of Length K With the Largest Sum</t>
  </si>
  <si>
    <t>Min Cost Climbing Stairs</t>
  </si>
  <si>
    <t>Pascal's Triangle</t>
  </si>
  <si>
    <t>Pascal's Triangle II</t>
  </si>
  <si>
    <t>Counting Bits</t>
  </si>
  <si>
    <t>Range Sum Query - Immutable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</si>
</sst>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  <font>
      <sz val="11"/>
      <color rgb="FF000000"/>
      <name val="Aptos Narrow"/>
      <scheme val="minor"/>
    </font>
    <font>
      <u/>
      <sz val="11"/>
      <color rgb="FF467886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6ECB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5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 applyAlignment="1">
      <alignment wrapText="1"/>
    </xf>
    <xf numFmtId="0" fontId="3" fillId="15" borderId="1" xfId="0" applyFont="1" applyFill="1" applyBorder="1"/>
    <xf numFmtId="0" fontId="22" fillId="8" borderId="1" xfId="0" applyFont="1" applyFill="1" applyBorder="1" applyAlignment="1">
      <alignment horizontal="center"/>
    </xf>
    <xf numFmtId="0" fontId="23" fillId="8" borderId="1" xfId="1" applyFont="1" applyFill="1" applyBorder="1"/>
    <xf numFmtId="0" fontId="3" fillId="16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7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96EC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D43D1BF-0E5C-4C1E-96BB-B4524D28651F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7a23cb-3c83-4ea5-a1b6-3bb65eff32c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63" Type="http://schemas.openxmlformats.org/officeDocument/2006/relationships/hyperlink" Target="https://leetcode.com/problems/validate-binary-search-tree/" TargetMode="External"/><Relationship Id="rId68" Type="http://schemas.openxmlformats.org/officeDocument/2006/relationships/hyperlink" Target="https://leetcode.com/problems/find-subsequence-of-length-k-with-the-largest-sum/" TargetMode="External"/><Relationship Id="rId16" Type="http://schemas.openxmlformats.org/officeDocument/2006/relationships/hyperlink" Target="https://leetcode.com/problems/fibonacci-number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66" Type="http://schemas.openxmlformats.org/officeDocument/2006/relationships/hyperlink" Target="https://leetcode.com/problems/relative-ranks/" TargetMode="External"/><Relationship Id="rId74" Type="http://schemas.openxmlformats.org/officeDocument/2006/relationships/hyperlink" Target="https://leetcode.com/problems/counting-bits/" TargetMode="Externa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hyperlink" Target="https://leetcode.com/problems/kth-largest-element-in-a-stream/" TargetMode="External"/><Relationship Id="rId69" Type="http://schemas.openxmlformats.org/officeDocument/2006/relationships/hyperlink" Target="https://leetcode.com/problems/fibonacci-number/" TargetMode="External"/><Relationship Id="rId77" Type="http://schemas.openxmlformats.org/officeDocument/2006/relationships/vmlDrawing" Target="../drawings/vmlDrawing1.vm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72" Type="http://schemas.openxmlformats.org/officeDocument/2006/relationships/hyperlink" Target="https://leetcode.com/problems/pascals-triangle/" TargetMode="Externa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67" Type="http://schemas.openxmlformats.org/officeDocument/2006/relationships/hyperlink" Target="https://leetcode.com/problems/take-gifts-from-the-richest-pile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70" Type="http://schemas.openxmlformats.org/officeDocument/2006/relationships/hyperlink" Target="https://leetcode.com/problems/n-th-tribonacci-number/" TargetMode="External"/><Relationship Id="rId75" Type="http://schemas.openxmlformats.org/officeDocument/2006/relationships/hyperlink" Target="https://leetcode.com/problems/range-sum-query-immutable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hyperlink" Target="https://leetcode.com/problems/last-stone-weight/" TargetMode="External"/><Relationship Id="rId73" Type="http://schemas.openxmlformats.org/officeDocument/2006/relationships/hyperlink" Target="https://leetcode.com/problems/pascals-triangle-ii/" TargetMode="External"/><Relationship Id="rId78" Type="http://schemas.openxmlformats.org/officeDocument/2006/relationships/comments" Target="../comments1.xm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Relationship Id="rId34" Type="http://schemas.openxmlformats.org/officeDocument/2006/relationships/hyperlink" Target="https://leetcode.com/problems/sqrtx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leetcode.com/problems/make-the-string-great/" TargetMode="External"/><Relationship Id="rId71" Type="http://schemas.openxmlformats.org/officeDocument/2006/relationships/hyperlink" Target="https://leetcode.com/problems/min-cost-climbing-stairs/" TargetMode="External"/><Relationship Id="rId2" Type="http://schemas.openxmlformats.org/officeDocument/2006/relationships/hyperlink" Target="https://www.geeksforgeeks.org/delete-a-node-in-a-doubly-linked-list/" TargetMode="External"/><Relationship Id="rId29" Type="http://schemas.openxmlformats.org/officeDocument/2006/relationships/hyperlink" Target="https://leetcode.com/problems/combinati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D9" zoomScale="89" zoomScaleNormal="85" workbookViewId="0">
      <pane ySplit="1" topLeftCell="A27" activePane="bottomLeft" state="frozen"/>
      <selection activeCell="B9" sqref="B9"/>
      <selection pane="bottomLeft" activeCell="L62" sqref="L62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111</v>
      </c>
      <c r="E5" s="22" t="s">
        <v>3</v>
      </c>
      <c r="F5" s="6">
        <f>D5/B5</f>
        <v>0.37</v>
      </c>
    </row>
    <row r="6" spans="1:24" s="22" customFormat="1" x14ac:dyDescent="0.35">
      <c r="A6" s="22" t="s">
        <v>4</v>
      </c>
      <c r="B6" s="5">
        <f>COUNTIF(V10:V69,"Done")</f>
        <v>22</v>
      </c>
      <c r="C6" s="22" t="s">
        <v>5</v>
      </c>
      <c r="D6" s="7">
        <f>60-B6</f>
        <v>38</v>
      </c>
      <c r="E6" s="22" t="s">
        <v>6</v>
      </c>
      <c r="F6" s="8">
        <f>IFERROR(AVERAGE(U10:U69),0)</f>
        <v>2.5909090909090908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46" t="s">
        <v>69</v>
      </c>
      <c r="D38" s="13" t="s">
        <v>41</v>
      </c>
      <c r="E38" s="13">
        <v>3</v>
      </c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46" t="s">
        <v>70</v>
      </c>
      <c r="D39" s="14" t="s">
        <v>41</v>
      </c>
      <c r="E39" s="14">
        <v>4</v>
      </c>
      <c r="F39" s="32" t="s">
        <v>163</v>
      </c>
      <c r="G39" s="14" t="s">
        <v>32</v>
      </c>
      <c r="H39" s="14" t="s">
        <v>106</v>
      </c>
      <c r="I39" s="45" t="s">
        <v>164</v>
      </c>
      <c r="J39" s="14" t="s">
        <v>33</v>
      </c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x14ac:dyDescent="0.35">
      <c r="A40" s="10">
        <v>31</v>
      </c>
      <c r="B40" s="23">
        <f>B39+1</f>
        <v>46191</v>
      </c>
      <c r="C40" s="47" t="s">
        <v>72</v>
      </c>
      <c r="D40" s="13" t="s">
        <v>173</v>
      </c>
      <c r="E40" s="13">
        <v>2</v>
      </c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 t="s">
        <v>181</v>
      </c>
      <c r="W40" s="36">
        <v>1647433</v>
      </c>
      <c r="X40" s="16"/>
    </row>
    <row r="41" spans="1:24" x14ac:dyDescent="0.35">
      <c r="A41" s="10">
        <v>32</v>
      </c>
      <c r="B41" s="23">
        <f>B40+1</f>
        <v>46192</v>
      </c>
      <c r="C41" s="47" t="s">
        <v>73</v>
      </c>
      <c r="D41" s="14" t="s">
        <v>104</v>
      </c>
      <c r="E41" s="14">
        <v>3</v>
      </c>
      <c r="F41" s="32" t="s">
        <v>174</v>
      </c>
      <c r="G41" s="14" t="s">
        <v>32</v>
      </c>
      <c r="H41" s="14" t="s">
        <v>106</v>
      </c>
      <c r="I41" s="32" t="s">
        <v>175</v>
      </c>
      <c r="J41" s="14" t="s">
        <v>32</v>
      </c>
      <c r="K41" s="14" t="s">
        <v>106</v>
      </c>
      <c r="L41" s="32" t="str">
        <f>HYPERLINK("https://www.geeksforgeeks.org/problems/implementing-ceil-in-bst/1","Find Ceil")</f>
        <v>Find Ceil</v>
      </c>
      <c r="M41" s="14" t="s">
        <v>32</v>
      </c>
      <c r="N41" s="14" t="s">
        <v>106</v>
      </c>
      <c r="O41" s="32" t="s">
        <v>176</v>
      </c>
      <c r="P41" s="14" t="s">
        <v>32</v>
      </c>
      <c r="Q41" s="14" t="s">
        <v>105</v>
      </c>
      <c r="R41" s="32" t="s">
        <v>177</v>
      </c>
      <c r="S41" s="14" t="s">
        <v>33</v>
      </c>
      <c r="T41" s="14" t="s">
        <v>105</v>
      </c>
      <c r="U41" s="14">
        <v>3</v>
      </c>
      <c r="V41" s="14" t="s">
        <v>107</v>
      </c>
      <c r="W41" s="41">
        <v>1584186</v>
      </c>
      <c r="X41" s="17"/>
    </row>
    <row r="42" spans="1:24" x14ac:dyDescent="0.35">
      <c r="A42" s="10">
        <v>33</v>
      </c>
      <c r="B42" s="23">
        <f>B41+2</f>
        <v>46194</v>
      </c>
      <c r="C42" s="47" t="s">
        <v>74</v>
      </c>
      <c r="D42" s="13" t="s">
        <v>104</v>
      </c>
      <c r="E42" s="13">
        <v>2</v>
      </c>
      <c r="F42" s="31" t="s">
        <v>178</v>
      </c>
      <c r="G42" s="13" t="s">
        <v>32</v>
      </c>
      <c r="H42" s="13" t="s">
        <v>106</v>
      </c>
      <c r="I42" s="31" t="str">
        <f>HYPERLINK("https://leetcode.com/problems/kth-smallest-element-in-a-bst/description/","KthSmallestValueinBST")</f>
        <v>KthSmallestValueinBST</v>
      </c>
      <c r="J42" s="13" t="s">
        <v>32</v>
      </c>
      <c r="K42" s="13" t="s">
        <v>106</v>
      </c>
      <c r="L42" s="31" t="s">
        <v>179</v>
      </c>
      <c r="M42" s="13" t="s">
        <v>32</v>
      </c>
      <c r="N42" s="13" t="s">
        <v>106</v>
      </c>
      <c r="O42" s="31" t="s">
        <v>180</v>
      </c>
      <c r="P42" s="13" t="s">
        <v>32</v>
      </c>
      <c r="Q42" s="13" t="s">
        <v>105</v>
      </c>
      <c r="R42" s="31" t="s">
        <v>168</v>
      </c>
      <c r="S42" s="13" t="s">
        <v>35</v>
      </c>
      <c r="T42" s="13" t="s">
        <v>105</v>
      </c>
      <c r="U42" s="13">
        <v>3</v>
      </c>
      <c r="V42" s="13" t="s">
        <v>107</v>
      </c>
      <c r="W42" s="36">
        <v>1523294</v>
      </c>
      <c r="X42" s="16"/>
    </row>
    <row r="43" spans="1:24" x14ac:dyDescent="0.35">
      <c r="A43" s="10">
        <v>34</v>
      </c>
      <c r="B43" s="23">
        <f>B42+3</f>
        <v>46197</v>
      </c>
      <c r="C43" s="35" t="s">
        <v>75</v>
      </c>
      <c r="D43" s="48" t="s">
        <v>41</v>
      </c>
      <c r="E43" s="14"/>
      <c r="F43" s="49" t="s">
        <v>182</v>
      </c>
      <c r="G43" s="14"/>
      <c r="H43" s="48" t="s">
        <v>106</v>
      </c>
      <c r="I43" s="49" t="s">
        <v>183</v>
      </c>
      <c r="J43" s="14"/>
      <c r="K43" s="48" t="s">
        <v>106</v>
      </c>
      <c r="L43" s="49" t="s">
        <v>184</v>
      </c>
      <c r="M43" s="14"/>
      <c r="N43" s="48" t="s">
        <v>106</v>
      </c>
      <c r="O43" s="49" t="s">
        <v>185</v>
      </c>
      <c r="P43" s="14"/>
      <c r="Q43" s="48" t="s">
        <v>106</v>
      </c>
      <c r="R43" s="49" t="s">
        <v>186</v>
      </c>
      <c r="S43" s="14"/>
      <c r="T43" s="48" t="s">
        <v>106</v>
      </c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hidden="1" x14ac:dyDescent="0.35">
      <c r="A47" s="10">
        <v>38</v>
      </c>
      <c r="B47" s="23"/>
      <c r="C47" s="52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hidden="1" x14ac:dyDescent="0.35">
      <c r="A48" s="10">
        <v>39</v>
      </c>
      <c r="B48" s="23"/>
      <c r="C48" s="52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hidden="1" x14ac:dyDescent="0.35">
      <c r="A49" s="10">
        <v>40</v>
      </c>
      <c r="B49" s="23"/>
      <c r="C49" s="52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hidden="1" x14ac:dyDescent="0.35">
      <c r="A50" s="10">
        <v>41</v>
      </c>
      <c r="B50" s="23"/>
      <c r="C50" s="52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hidden="1" x14ac:dyDescent="0.35">
      <c r="A51" s="10">
        <v>42</v>
      </c>
      <c r="B51" s="23"/>
      <c r="C51" s="52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hidden="1" x14ac:dyDescent="0.35">
      <c r="A52" s="10">
        <v>43</v>
      </c>
      <c r="B52" s="23"/>
      <c r="C52" s="52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hidden="1" x14ac:dyDescent="0.35">
      <c r="A53" s="10">
        <v>44</v>
      </c>
      <c r="B53" s="23"/>
      <c r="C53" s="52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hidden="1" x14ac:dyDescent="0.35">
      <c r="A54" s="10">
        <v>45</v>
      </c>
      <c r="B54" s="23"/>
      <c r="C54" s="52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>
        <f>B43+3</f>
        <v>46200</v>
      </c>
      <c r="C55" s="50" t="s">
        <v>87</v>
      </c>
      <c r="D55" s="14" t="s">
        <v>41</v>
      </c>
      <c r="E55" s="14">
        <v>4</v>
      </c>
      <c r="F55" s="32" t="str">
        <f>HYPERLINK("https://leetcode.com/problems/climbing-stairs/description/", "Climbing Stairs")</f>
        <v>Climbing Stairs</v>
      </c>
      <c r="G55" s="14" t="s">
        <v>32</v>
      </c>
      <c r="H55" s="48" t="s">
        <v>106</v>
      </c>
      <c r="I55" s="32" t="str">
        <f>HYPERLINK("https://www.geeksforgeeks.org/problems/geek-jump/1", "Frog Jump")</f>
        <v>Frog Jump</v>
      </c>
      <c r="J55" s="14" t="s">
        <v>32</v>
      </c>
      <c r="K55" s="48" t="s">
        <v>106</v>
      </c>
      <c r="L55" s="32" t="str">
        <f>HYPERLINK("https://leetcode.com/problems/house-robber/", "House Robber")</f>
        <v>House Robber</v>
      </c>
      <c r="M55" s="14" t="s">
        <v>32</v>
      </c>
      <c r="N55" s="48" t="s">
        <v>106</v>
      </c>
      <c r="O55" s="32" t="str">
        <f>HYPERLINK("https://leetcode.com/problems/unique-paths/", "Unique Paths")</f>
        <v>Unique Paths</v>
      </c>
      <c r="P55" s="14" t="s">
        <v>32</v>
      </c>
      <c r="Q55" s="48" t="s">
        <v>106</v>
      </c>
      <c r="R55" s="32" t="str">
        <f>HYPERLINK("https://leetcode.com/problems/minimum-path-sum/description/", "Minimum Path Sum")</f>
        <v>Minimum Path Sum</v>
      </c>
      <c r="S55" s="14" t="s">
        <v>32</v>
      </c>
      <c r="T55" s="48" t="s">
        <v>106</v>
      </c>
      <c r="U55" s="14">
        <v>3</v>
      </c>
      <c r="V55" s="14" t="s">
        <v>107</v>
      </c>
      <c r="W55" s="41">
        <v>1456911</v>
      </c>
      <c r="X55" s="17"/>
    </row>
    <row r="56" spans="1:24" x14ac:dyDescent="0.35">
      <c r="A56" s="10">
        <v>47</v>
      </c>
      <c r="B56" s="23">
        <f>B55+3</f>
        <v>46203</v>
      </c>
      <c r="C56" s="50" t="s">
        <v>88</v>
      </c>
      <c r="D56" s="48" t="s">
        <v>41</v>
      </c>
      <c r="E56" s="13"/>
      <c r="F56" s="49" t="s">
        <v>187</v>
      </c>
      <c r="G56" s="13"/>
      <c r="H56" s="48" t="s">
        <v>106</v>
      </c>
      <c r="I56" s="49" t="s">
        <v>188</v>
      </c>
      <c r="J56" s="13"/>
      <c r="K56" s="48" t="s">
        <v>106</v>
      </c>
      <c r="L56" s="49" t="s">
        <v>189</v>
      </c>
      <c r="M56" s="13"/>
      <c r="N56" s="48" t="s">
        <v>106</v>
      </c>
      <c r="O56" s="49" t="s">
        <v>190</v>
      </c>
      <c r="P56" s="13"/>
      <c r="Q56" s="48" t="s">
        <v>106</v>
      </c>
      <c r="R56" s="49" t="s">
        <v>191</v>
      </c>
      <c r="S56" s="13"/>
      <c r="T56" s="48" t="s">
        <v>106</v>
      </c>
      <c r="U56" s="13"/>
      <c r="V56" s="13"/>
      <c r="W56" s="16"/>
      <c r="X56" s="16"/>
    </row>
    <row r="57" spans="1:24" x14ac:dyDescent="0.35">
      <c r="A57" s="10">
        <v>48</v>
      </c>
      <c r="B57" s="23"/>
      <c r="C57" s="50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50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50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50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50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50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50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51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51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display="Closest Binary Search Tree Value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display="Minimum Absolute Difference in BST" xr:uid="{E6C977E9-9F9C-44AF-ADF7-E6D842301E29}"/>
    <hyperlink ref="L42" r:id="rId62" xr:uid="{92A20403-229C-4590-A7D3-C53437FD757E}"/>
    <hyperlink ref="O42" r:id="rId63" xr:uid="{DC9F8E70-901B-4B93-A393-AECDD229B4E1}"/>
    <hyperlink ref="F43" r:id="rId64" tooltip="Kth Largest Element in a Stream" xr:uid="{ACB876EA-47E0-485F-8495-FBB6BE6707EE}"/>
    <hyperlink ref="I43" r:id="rId65" tooltip="Last Stone Weight" xr:uid="{4FA580D7-FD80-48A8-A10F-73014F5E35EE}"/>
    <hyperlink ref="L43" r:id="rId66" tooltip="Relative Ranks" xr:uid="{454D593E-B1CD-495C-BDFF-7BB8051D8F80}"/>
    <hyperlink ref="O43" r:id="rId67" tooltip="Take Gifts From the Richest Pile" xr:uid="{ED1BDAB4-926B-4A04-985F-7BE506D6D323}"/>
    <hyperlink ref="R43" r:id="rId68" tooltip="Find Subsequence of Length K With the Largest Sum" xr:uid="{F6DD1F64-D233-496F-8266-0DDCF323AFC6}"/>
    <hyperlink ref="O55" r:id="rId69" tooltip="Fibonacci Number" display="Fibonacci Number" xr:uid="{C9871103-54C8-4DBC-ABF6-87F012E33D42}"/>
    <hyperlink ref="R55" r:id="rId70" tooltip="N-th Tribonacci Number" display="N-th Tribonacci Number" xr:uid="{3F0EA806-31A3-440A-83F2-9AF5C851AA9E}"/>
    <hyperlink ref="F56" r:id="rId71" tooltip="Min Cost Climbing Stairs" xr:uid="{E4E6A500-AA07-4E6D-AF43-7BC85E392D5D}"/>
    <hyperlink ref="I56" r:id="rId72" tooltip="Pascal's Triangle" xr:uid="{CBEFACE6-E614-45F1-964F-7CAD737FF17E}"/>
    <hyperlink ref="L56" r:id="rId73" tooltip="Pascal's Triangle II" xr:uid="{091D8C20-1BAA-485C-85F9-7C5335211BA3}"/>
    <hyperlink ref="O56" r:id="rId74" tooltip="Counting Bits" xr:uid="{059A599F-CA30-44F4-92C5-D64DD9509163}"/>
    <hyperlink ref="R56" r:id="rId75" tooltip="Range Sum Query - Immutable" xr:uid="{B42D7F33-7400-48DD-9B7B-E859B1E17C1F}"/>
  </hyperlinks>
  <pageMargins left="0.7" right="0.7" top="0.75" bottom="0.75" header="0.3" footer="0.3"/>
  <pageSetup orientation="portrait" r:id="rId76"/>
  <legacyDrawing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2026-07-02T03:00:43Z</dcterms:modified>
</cp:coreProperties>
</file>